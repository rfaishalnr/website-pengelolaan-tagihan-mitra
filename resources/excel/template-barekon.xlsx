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Project Iseng\4form-multitenant-v2.5\resources\excel\"/>
    </mc:Choice>
  </mc:AlternateContent>
  <xr:revisionPtr revIDLastSave="0" documentId="13_ncr:1_{495E4C5B-A527-4D00-8BFE-8D5FD8F7FE7C}" xr6:coauthVersionLast="47" xr6:coauthVersionMax="47" xr10:uidLastSave="{00000000-0000-0000-0000-000000000000}"/>
  <bookViews>
    <workbookView xWindow="-120" yWindow="-120" windowWidth="29040" windowHeight="15720" xr2:uid="{04153AF7-6E08-416E-894C-58D68B806A33}"/>
  </bookViews>
  <sheets>
    <sheet name="BAREKON" sheetId="1" r:id="rId1"/>
  </sheets>
  <definedNames>
    <definedName name="_xlnm.Print_Area" localSheetId="0">BAREKON!$A$1:$M$217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3" i="1" l="1"/>
  <c r="L143" i="1"/>
  <c r="K143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M91" i="1"/>
  <c r="M79" i="1"/>
  <c r="M85" i="1"/>
  <c r="M73" i="1"/>
  <c r="M144" i="1" l="1"/>
  <c r="M145" i="1" s="1"/>
  <c r="M92" i="1" l="1"/>
  <c r="M93" i="1" s="1"/>
  <c r="M86" i="1"/>
  <c r="M87" i="1" s="1"/>
  <c r="M80" i="1"/>
  <c r="M81" i="1" s="1"/>
  <c r="M74" i="1"/>
  <c r="M75" i="1" s="1"/>
</calcChain>
</file>

<file path=xl/sharedStrings.xml><?xml version="1.0" encoding="utf-8"?>
<sst xmlns="http://schemas.openxmlformats.org/spreadsheetml/2006/main" count="533" uniqueCount="343">
  <si>
    <t>Nomor : ${no_ba_rekon}</t>
  </si>
  <si>
    <t>:</t>
  </si>
  <si>
    <t>${nama_pekerjaan}</t>
  </si>
  <si>
    <t>${no_khs_mitra}</t>
  </si>
  <si>
    <t>${amd_khs_mitra_1}</t>
  </si>
  <si>
    <t>${amd_khs_mitra_2}</t>
  </si>
  <si>
    <t>${nomer_sp_mitra}</t>
  </si>
  <si>
    <t>${nama_mitra}</t>
  </si>
  <si>
    <t>${regional}</t>
  </si>
  <si>
    <t>${area}</t>
  </si>
  <si>
    <t>${idp}</t>
  </si>
  <si>
    <t>Lingkup Rekonsiliasi ini meliputi :</t>
  </si>
  <si>
    <t>Obyek Rekonsiliasi</t>
  </si>
  <si>
    <t>LOKASI</t>
  </si>
  <si>
    <t>STO</t>
  </si>
  <si>
    <t>KETERANGAN</t>
  </si>
  <si>
    <t>Detail perhitungan Volume / Kapasitas pekerjaan terlampir.</t>
  </si>
  <si>
    <t>Hasil Rekonsiliasi</t>
  </si>
  <si>
    <t>Lingkup Pekerjaan (SoW)</t>
  </si>
  <si>
    <t>Harga Borongan</t>
  </si>
  <si>
    <t>Deskripsi</t>
  </si>
  <si>
    <t>Rp</t>
  </si>
  <si>
    <t>Harga borongan berdasarkan Surat Pesanan :</t>
  </si>
  <si>
    <t>a. Material</t>
  </si>
  <si>
    <t>c. TOTAL NILAI</t>
  </si>
  <si>
    <t>b. Jasa</t>
  </si>
  <si>
    <t>d. PPN</t>
  </si>
  <si>
    <t>e. Grand Total</t>
  </si>
  <si>
    <t>Rincian nilai hasil rekonsiliasi selengkapnya sebagaimana terlampir.</t>
  </si>
  <si>
    <t>Total Harga Borongan yang Telah Diterbitkan BAST-1</t>
  </si>
  <si>
    <t>Total Harga Borongan Hasil Rekonsiliasi yang Dapat Diterbitkan BAST-I</t>
  </si>
  <si>
    <t>TOTAL</t>
  </si>
  <si>
    <t>Total Harga Borongan yang Belum Dapat Diterbitkan BAST-I</t>
  </si>
  <si>
    <t>Waktu Pelaksanaan Pekerjaan Yang Direkonsiliasi</t>
  </si>
  <si>
    <t>PT. TELKOM AKSES dan MITRA sepakat bahwa waktu pelaksanaan pekerjaan yang direkonsiliasi adalah sebagai berikut :</t>
  </si>
  <si>
    <t>Work Package (WP)</t>
  </si>
  <si>
    <t>TOC</t>
  </si>
  <si>
    <t xml:space="preserve">7. </t>
  </si>
  <si>
    <t>Kelengkapan Dokumen</t>
  </si>
  <si>
    <t>Dokumen Test Commisioning, Uji Terima, Bill of Quantity lengkap terlampir.</t>
  </si>
  <si>
    <t>Demikian Berita Acara Rekonsiliasi ini dibuat sesuai keadaan yang sebenarnya untuk dipergunakan sebagaimana mestinya.</t>
  </si>
  <si>
    <r>
      <t>TELKOM AKSES</t>
    </r>
    <r>
      <rPr>
        <sz val="11"/>
        <color theme="1"/>
        <rFont val="Roboto"/>
      </rPr>
      <t xml:space="preserve"> dan </t>
    </r>
    <r>
      <rPr>
        <b/>
        <sz val="11"/>
        <color theme="1"/>
        <rFont val="Roboto"/>
      </rPr>
      <t xml:space="preserve">MITRA </t>
    </r>
    <r>
      <rPr>
        <sz val="11"/>
        <color theme="1"/>
        <rFont val="Roboto"/>
      </rPr>
      <t>sepakat bahwa lingkup pekerjaan (SoW) berdasarkan hasil Rekonsiliasi pekerjaan dimaksud adalah sebagaimana BoQ detail terlampir.</t>
    </r>
  </si>
  <si>
    <r>
      <t>TELKOM AKSES</t>
    </r>
    <r>
      <rPr>
        <sz val="11"/>
        <color theme="1"/>
        <rFont val="Roboto"/>
      </rPr>
      <t xml:space="preserve"> dan </t>
    </r>
    <r>
      <rPr>
        <b/>
        <sz val="11"/>
        <color theme="1"/>
        <rFont val="Roboto"/>
      </rPr>
      <t>MITRA</t>
    </r>
    <r>
      <rPr>
        <sz val="11"/>
        <color theme="1"/>
        <rFont val="Roboto"/>
      </rPr>
      <t xml:space="preserve"> sepakat bahwa nilai yang belum dapat diterbitkan BAST-1 adalah </t>
    </r>
    <r>
      <rPr>
        <b/>
        <sz val="11"/>
        <color theme="1"/>
        <rFont val="Roboto"/>
      </rPr>
      <t>NIHIL</t>
    </r>
  </si>
  <si>
    <t>${nama_mgr_area}</t>
  </si>
  <si>
    <t>${jabatan_mgr_area}</t>
  </si>
  <si>
    <t>${direktur_mitra}</t>
  </si>
  <si>
    <t>${jabatan_mitra}</t>
  </si>
  <si>
    <t>MENGETAHUI / MENYETUJUI</t>
  </si>
  <si>
    <t>${posisi_pejabat_ta}</t>
  </si>
  <si>
    <t>NO</t>
  </si>
  <si>
    <t>HARGA JASA</t>
  </si>
  <si>
    <t>JUMLAH</t>
  </si>
  <si>
    <t>HARGA</t>
  </si>
  <si>
    <t>${toc}</t>
  </si>
  <si>
    <t>PT. TELKOM AKSES</t>
  </si>
  <si>
    <r>
      <t xml:space="preserve">* </t>
    </r>
    <r>
      <rPr>
        <i/>
        <sz val="11"/>
        <color theme="1"/>
        <rFont val="Roboto Bk"/>
      </rPr>
      <t>Keterangan: Tanda tangan PT. Telkom Akses sesuai kewenangan</t>
    </r>
  </si>
  <si>
    <t>6.</t>
  </si>
  <si>
    <t>5.</t>
  </si>
  <si>
    <t>4.</t>
  </si>
  <si>
    <t>3.</t>
  </si>
  <si>
    <t>2.</t>
  </si>
  <si>
    <t>b.</t>
  </si>
  <si>
    <t>a.</t>
  </si>
  <si>
    <t>1.</t>
  </si>
  <si>
    <t>No.</t>
  </si>
  <si>
    <t>${nama_lokasi_1}</t>
  </si>
  <si>
    <t>${sto_1}</t>
  </si>
  <si>
    <t>${nama_lokasi_2}</t>
  </si>
  <si>
    <t>${sto_2}</t>
  </si>
  <si>
    <t>${sto_3}</t>
  </si>
  <si>
    <t>${sto_4}</t>
  </si>
  <si>
    <t>${sto_5}</t>
  </si>
  <si>
    <t>${sto_6}</t>
  </si>
  <si>
    <t>${sto_7}</t>
  </si>
  <si>
    <t>${sto_8}</t>
  </si>
  <si>
    <t>${sto_9}</t>
  </si>
  <si>
    <t>${sto_10}</t>
  </si>
  <si>
    <t>${sto_11}</t>
  </si>
  <si>
    <t>${sto_12}</t>
  </si>
  <si>
    <t>${sto_13}</t>
  </si>
  <si>
    <t>${sto_14}</t>
  </si>
  <si>
    <t>${sto_15}</t>
  </si>
  <si>
    <t>${sto_16}</t>
  </si>
  <si>
    <t>${sto_17}</t>
  </si>
  <si>
    <t>${sto_18}</t>
  </si>
  <si>
    <t>${sto_19}</t>
  </si>
  <si>
    <t>${sto_20}</t>
  </si>
  <si>
    <t>${nama_lokasi_3}</t>
  </si>
  <si>
    <t>${nama_lokasi_4}</t>
  </si>
  <si>
    <t>${nama_lokasi_5}</t>
  </si>
  <si>
    <t>${nama_lokasi_6}</t>
  </si>
  <si>
    <t>${nama_lokasi_7}</t>
  </si>
  <si>
    <t>${nama_lokasi_8}</t>
  </si>
  <si>
    <t>${nama_lokasi_9}</t>
  </si>
  <si>
    <t>${nama_lokasi_10}</t>
  </si>
  <si>
    <t>${nama_lokasi_11}</t>
  </si>
  <si>
    <t>${nama_lokasi_12}</t>
  </si>
  <si>
    <t>${nama_lokasi_13}</t>
  </si>
  <si>
    <t>${nama_lokasi_14}</t>
  </si>
  <si>
    <t>${nama_lokasi_15}</t>
  </si>
  <si>
    <t>${nama_lokasi_16}</t>
  </si>
  <si>
    <t>${nama_lokasi_17}</t>
  </si>
  <si>
    <t>${nama_lokasi_18}</t>
  </si>
  <si>
    <t>${nama_lokasi_19}</t>
  </si>
  <si>
    <t>${nama_lokasi_20}</t>
  </si>
  <si>
    <t>${rekon_material_1}</t>
  </si>
  <si>
    <t>${rekon_material_2}</t>
  </si>
  <si>
    <t>${rekon_material_3}</t>
  </si>
  <si>
    <t>${rekon_material_4}</t>
  </si>
  <si>
    <t>${rekon_material_5}</t>
  </si>
  <si>
    <t>${rekon_material_6}</t>
  </si>
  <si>
    <t>${rekon_material_7}</t>
  </si>
  <si>
    <t>${rekon_material_8}</t>
  </si>
  <si>
    <t>${rekon_material_9}</t>
  </si>
  <si>
    <t>${rekon_material_10}</t>
  </si>
  <si>
    <t>${rekon_material_11}</t>
  </si>
  <si>
    <t>${rekon_material_12}</t>
  </si>
  <si>
    <t>${rekon_material_13}</t>
  </si>
  <si>
    <t>${rekon_material_14}</t>
  </si>
  <si>
    <t>${rekon_material_15}</t>
  </si>
  <si>
    <t>${rekon_material_16}</t>
  </si>
  <si>
    <t>${rekon_material_17}</t>
  </si>
  <si>
    <t>${rekon_material_18}</t>
  </si>
  <si>
    <t>${rekon_material_19}</t>
  </si>
  <si>
    <t>${rekon_material_20}</t>
  </si>
  <si>
    <t>${rekon_jasa_1}</t>
  </si>
  <si>
    <t>${rekon_jasa_2}</t>
  </si>
  <si>
    <t>${rekon_jasa_3}</t>
  </si>
  <si>
    <t>${rekon_jasa_4}</t>
  </si>
  <si>
    <t>${rekon_jasa_5}</t>
  </si>
  <si>
    <t>${rekon_jasa_6}</t>
  </si>
  <si>
    <t>${rekon_jasa_7}</t>
  </si>
  <si>
    <t>${rekon_jasa_8}</t>
  </si>
  <si>
    <t>${rekon_jasa_9}</t>
  </si>
  <si>
    <t>${rekon_jasa_10}</t>
  </si>
  <si>
    <t>${rekon_jasa_11}</t>
  </si>
  <si>
    <t>${rekon_jasa_12}</t>
  </si>
  <si>
    <t>${rekon_jasa_13}</t>
  </si>
  <si>
    <t>${rekon_jasa_14}</t>
  </si>
  <si>
    <t>${rekon_jasa_15}</t>
  </si>
  <si>
    <t>${rekon_jasa_16}</t>
  </si>
  <si>
    <t>${rekon_jasa_17}</t>
  </si>
  <si>
    <t>${rekon_jasa_18}</t>
  </si>
  <si>
    <t>${rekon_jasa_19}</t>
  </si>
  <si>
    <t>${rekon_jasa_20}</t>
  </si>
  <si>
    <t>${rekon_total_1}</t>
  </si>
  <si>
    <t>${rekon_total_2}</t>
  </si>
  <si>
    <t>${rekon_total_3}</t>
  </si>
  <si>
    <t>${rekon_total_4}</t>
  </si>
  <si>
    <t>${rekon_total_5}</t>
  </si>
  <si>
    <t>${rekon_total_6}</t>
  </si>
  <si>
    <t>${rekon_total_7}</t>
  </si>
  <si>
    <t>${rekon_total_8}</t>
  </si>
  <si>
    <t>${rekon_total_9}</t>
  </si>
  <si>
    <t>${rekon_total_10}</t>
  </si>
  <si>
    <t>${rekon_total_11}</t>
  </si>
  <si>
    <t>${rekon_total_12}</t>
  </si>
  <si>
    <t>${rekon_total_13}</t>
  </si>
  <si>
    <t>${rekon_total_14}</t>
  </si>
  <si>
    <t>${rekon_total_15}</t>
  </si>
  <si>
    <t>${rekon_total_16}</t>
  </si>
  <si>
    <t>${rekon_total_17}</t>
  </si>
  <si>
    <t>${rekon_total_18}</t>
  </si>
  <si>
    <t>${rekon_total_19}</t>
  </si>
  <si>
    <t>${rekon_total_20}</t>
  </si>
  <si>
    <t>Realisasi BAUT</t>
  </si>
  <si>
    <t>HARI</t>
  </si>
  <si>
    <t>${tanggal_baut}</t>
  </si>
  <si>
    <t>Pada hari ini ${hari_rekon} tanggal ${tanggal_terbilang_rekon} bulan ${bulan_rekon} tahun ${tahun_terbilang_rekon} Bertempat di Kantor Telkom Akses Witel Tasikmalaya telah dilakukan rekonsiliasi terhadap ${nama_pekerjaan} Antara PT. TELKOM AKSES selanjutnya disebut TELKOM AKSES dengan ${nama_mitra} selanjutnya disebut MITRA, dengan kesepakatan sebagai berikut :</t>
  </si>
  <si>
    <t>${grand_total_sp_material}</t>
  </si>
  <si>
    <t>${grand_total_sp_jasa}</t>
  </si>
  <si>
    <t>${grand_total_rekon_material}</t>
  </si>
  <si>
    <t>${grand_total_rekon_jasa}</t>
  </si>
  <si>
    <t>${grand_total_kurang_material}</t>
  </si>
  <si>
    <t>${grand_total_kurang_jasa}</t>
  </si>
  <si>
    <t>${grand_total_tambah_material}</t>
  </si>
  <si>
    <t>${grand_total_tambah_jasa}</t>
  </si>
  <si>
    <t>Nihil</t>
  </si>
  <si>
    <t>Pekerjaan Tambah Rekon :</t>
  </si>
  <si>
    <t>Pekerjaan Kurang Rekon :</t>
  </si>
  <si>
    <t>Harga Borongan Berdasarkan Rekon :</t>
  </si>
  <si>
    <r>
      <t>TELKOM AKSES</t>
    </r>
    <r>
      <rPr>
        <sz val="11"/>
        <color theme="1"/>
        <rFont val="Roboto"/>
      </rPr>
      <t xml:space="preserve"> dan </t>
    </r>
    <r>
      <rPr>
        <b/>
        <sz val="11"/>
        <color theme="1"/>
        <rFont val="Roboto"/>
      </rPr>
      <t xml:space="preserve">MITRA </t>
    </r>
    <r>
      <rPr>
        <sz val="11"/>
        <color theme="1"/>
        <rFont val="Roboto"/>
      </rPr>
      <t xml:space="preserve">sepakat bahwa hasil rekonsiliasi (diluar PPN) yang telah diterbitkan BAST-1 adalah sebesar </t>
    </r>
    <r>
      <rPr>
        <b/>
        <sz val="11"/>
        <color theme="1"/>
        <rFont val="Roboto"/>
      </rPr>
      <t>Rp. 0,00 (Nol Rupiah).</t>
    </r>
  </si>
  <si>
    <t>TELKOM AKSES dan MITRA sepakat bahwa harga borongan berdasarkan hasil Rekonsiliasi pekerjaan dimaksud (sudah termasuk PPN) adalah sebesar ${grand_total_rekon_with_ppn_formatted} (${terbilang_with_ppn}) dengan rincian sebagai berikut :</t>
  </si>
  <si>
    <t>${drop_1}</t>
  </si>
  <si>
    <t>${drop_2}</t>
  </si>
  <si>
    <t>${drop_3}</t>
  </si>
  <si>
    <t>${drop_4}</t>
  </si>
  <si>
    <t>${drop_5}</t>
  </si>
  <si>
    <t>${drop_6}</t>
  </si>
  <si>
    <t>${drop_7}</t>
  </si>
  <si>
    <t>${drop_8}</t>
  </si>
  <si>
    <t>${drop_9}</t>
  </si>
  <si>
    <t>${drop_10}</t>
  </si>
  <si>
    <t>${drop_11}</t>
  </si>
  <si>
    <t>${drop_12}</t>
  </si>
  <si>
    <t>${drop_13}</t>
  </si>
  <si>
    <t>${drop_14}</t>
  </si>
  <si>
    <t>${drop_15}</t>
  </si>
  <si>
    <t>${drop_16}</t>
  </si>
  <si>
    <t>${drop_17}</t>
  </si>
  <si>
    <t>${drop_18}</t>
  </si>
  <si>
    <t>${drop_19}</t>
  </si>
  <si>
    <t>${drop_20}</t>
  </si>
  <si>
    <t>${nama_pejabat_ta}</t>
  </si>
  <si>
    <t>BERITA ACARA REKONSILIASI PEKERJAAN TAHAP 1
BERDASARKAN
PERJANJIAN KERJA SAMA KONTRAK HARGA SATUAN (KHS) PEKERJAAN PENGADAAN DAN/ATAU PEMASANGAN OUTSIDE PLANT FIBER OPTIK (OSP-FO)</t>
  </si>
  <si>
    <t>${amd_khs_mitra_3}</t>
  </si>
  <si>
    <t>${amd_khs_mitra_4}</t>
  </si>
  <si>
    <t>${amd_khs_mitra_5}</t>
  </si>
  <si>
    <t>PPN</t>
  </si>
  <si>
    <t>Grand Total</t>
  </si>
  <si>
    <t>TELKOM AKSES dan MITRA sepakat bahwa nilai hasil rekonsiliasi yang dapat diterbitkan BAST-1 adalah sebesar ${grand_total_rekon_with_ppn_formatted} (${terbilang_with_ppn}) sudah termasuk PPN dengan rincian sebagai berikut:</t>
  </si>
  <si>
    <t>Pekerjaan</t>
  </si>
  <si>
    <t>Pelaksana Pekerjaan</t>
  </si>
  <si>
    <t>Regional</t>
  </si>
  <si>
    <t>Amandemen Pertama Perjanjian Kerja Sama (KHS)</t>
  </si>
  <si>
    <t>Amandemen Kedua Perjanjian Kerja Sama (KHS)</t>
  </si>
  <si>
    <t>Amandemen Ketiga Perjanjian Kerja Sama (KHS)</t>
  </si>
  <si>
    <t>Amandemen Keempat Perjanjian Kerja Sama (KHS)</t>
  </si>
  <si>
    <t>Amandemen Kelima Perjanjian Kerja Sama (KHS)</t>
  </si>
  <si>
    <t>Perjanjian Kerja Sama (KHS)</t>
  </si>
  <si>
    <t>Surat Pesanan</t>
  </si>
  <si>
    <t>Witel</t>
  </si>
  <si>
    <t>ID Project</t>
  </si>
  <si>
    <t>${nama_lokasi_21}</t>
  </si>
  <si>
    <t>${nama_lokasi_22}</t>
  </si>
  <si>
    <t>${nama_lokasi_23}</t>
  </si>
  <si>
    <t>${nama_lokasi_24}</t>
  </si>
  <si>
    <t>${nama_lokasi_25}</t>
  </si>
  <si>
    <t>${nama_lokasi_26}</t>
  </si>
  <si>
    <t>${nama_lokasi_27}</t>
  </si>
  <si>
    <t>${nama_lokasi_28}</t>
  </si>
  <si>
    <t>${nama_lokasi_29}</t>
  </si>
  <si>
    <t>${nama_lokasi_30}</t>
  </si>
  <si>
    <t>${nama_lokasi_31}</t>
  </si>
  <si>
    <t>${nama_lokasi_32}</t>
  </si>
  <si>
    <t>${nama_lokasi_33}</t>
  </si>
  <si>
    <t>${nama_lokasi_34}</t>
  </si>
  <si>
    <t>${nama_lokasi_35}</t>
  </si>
  <si>
    <t>${nama_lokasi_36}</t>
  </si>
  <si>
    <t>${nama_lokasi_37}</t>
  </si>
  <si>
    <t>${nama_lokasi_38}</t>
  </si>
  <si>
    <t>${nama_lokasi_39}</t>
  </si>
  <si>
    <t>${nama_lokasi_40}</t>
  </si>
  <si>
    <t>${sto_21}</t>
  </si>
  <si>
    <t>${sto_22}</t>
  </si>
  <si>
    <t>${sto_23}</t>
  </si>
  <si>
    <t>${sto_24}</t>
  </si>
  <si>
    <t>${sto_25}</t>
  </si>
  <si>
    <t>${sto_26}</t>
  </si>
  <si>
    <t>${sto_27}</t>
  </si>
  <si>
    <t>${sto_28}</t>
  </si>
  <si>
    <t>${sto_29}</t>
  </si>
  <si>
    <t>${sto_30}</t>
  </si>
  <si>
    <t>${sto_31}</t>
  </si>
  <si>
    <t>${sto_32}</t>
  </si>
  <si>
    <t>${sto_33}</t>
  </si>
  <si>
    <t>${sto_34}</t>
  </si>
  <si>
    <t>${sto_35}</t>
  </si>
  <si>
    <t>${sto_36}</t>
  </si>
  <si>
    <t>${sto_37}</t>
  </si>
  <si>
    <t>${sto_38}</t>
  </si>
  <si>
    <t>${sto_39}</t>
  </si>
  <si>
    <t>${sto_40}</t>
  </si>
  <si>
    <t>${drop_21}</t>
  </si>
  <si>
    <t>${drop_22}</t>
  </si>
  <si>
    <t>${drop_23}</t>
  </si>
  <si>
    <t>${drop_24}</t>
  </si>
  <si>
    <t>${drop_25}</t>
  </si>
  <si>
    <t>${drop_26}</t>
  </si>
  <si>
    <t>${drop_27}</t>
  </si>
  <si>
    <t>${drop_28}</t>
  </si>
  <si>
    <t>${drop_29}</t>
  </si>
  <si>
    <t>${drop_30}</t>
  </si>
  <si>
    <t>${drop_31}</t>
  </si>
  <si>
    <t>${drop_32}</t>
  </si>
  <si>
    <t>${drop_33}</t>
  </si>
  <si>
    <t>${drop_34}</t>
  </si>
  <si>
    <t>${drop_35}</t>
  </si>
  <si>
    <t>${drop_36}</t>
  </si>
  <si>
    <t>${drop_37}</t>
  </si>
  <si>
    <t>${drop_38}</t>
  </si>
  <si>
    <t>${drop_39}</t>
  </si>
  <si>
    <t>${drop_40}</t>
  </si>
  <si>
    <t>${rekon_material_21}</t>
  </si>
  <si>
    <t>${rekon_material_22}</t>
  </si>
  <si>
    <t>${rekon_material_23}</t>
  </si>
  <si>
    <t>${rekon_material_24}</t>
  </si>
  <si>
    <t>${rekon_material_25}</t>
  </si>
  <si>
    <t>${rekon_material_26}</t>
  </si>
  <si>
    <t>${rekon_material_27}</t>
  </si>
  <si>
    <t>${rekon_material_28}</t>
  </si>
  <si>
    <t>${rekon_material_29}</t>
  </si>
  <si>
    <t>${rekon_material_30}</t>
  </si>
  <si>
    <t>${rekon_material_31}</t>
  </si>
  <si>
    <t>${rekon_material_32}</t>
  </si>
  <si>
    <t>${rekon_material_33}</t>
  </si>
  <si>
    <t>${rekon_material_34}</t>
  </si>
  <si>
    <t>${rekon_material_35}</t>
  </si>
  <si>
    <t>${rekon_material_36}</t>
  </si>
  <si>
    <t>${rekon_material_37}</t>
  </si>
  <si>
    <t>${rekon_material_38}</t>
  </si>
  <si>
    <t>${rekon_material_39}</t>
  </si>
  <si>
    <t>${rekon_material_40}</t>
  </si>
  <si>
    <t>${rekon_jasa_21}</t>
  </si>
  <si>
    <t>${rekon_jasa_22}</t>
  </si>
  <si>
    <t>${rekon_jasa_23}</t>
  </si>
  <si>
    <t>${rekon_jasa_24}</t>
  </si>
  <si>
    <t>${rekon_jasa_25}</t>
  </si>
  <si>
    <t>${rekon_jasa_26}</t>
  </si>
  <si>
    <t>${rekon_jasa_27}</t>
  </si>
  <si>
    <t>${rekon_jasa_28}</t>
  </si>
  <si>
    <t>${rekon_jasa_29}</t>
  </si>
  <si>
    <t>${rekon_jasa_30}</t>
  </si>
  <si>
    <t>${rekon_jasa_31}</t>
  </si>
  <si>
    <t>${rekon_jasa_32}</t>
  </si>
  <si>
    <t>${rekon_jasa_33}</t>
  </si>
  <si>
    <t>${rekon_jasa_34}</t>
  </si>
  <si>
    <t>${rekon_jasa_35}</t>
  </si>
  <si>
    <t>${rekon_jasa_36}</t>
  </si>
  <si>
    <t>${rekon_jasa_37}</t>
  </si>
  <si>
    <t>${rekon_jasa_38}</t>
  </si>
  <si>
    <t>${rekon_jasa_39}</t>
  </si>
  <si>
    <t>${rekon_jasa_40}</t>
  </si>
  <si>
    <t>${rekon_total_21}</t>
  </si>
  <si>
    <t>${rekon_total_22}</t>
  </si>
  <si>
    <t>${rekon_total_23}</t>
  </si>
  <si>
    <t>${rekon_total_24}</t>
  </si>
  <si>
    <t>${rekon_total_25}</t>
  </si>
  <si>
    <t>${rekon_total_26}</t>
  </si>
  <si>
    <t>${rekon_total_27}</t>
  </si>
  <si>
    <t>${rekon_total_28}</t>
  </si>
  <si>
    <t>${rekon_total_29}</t>
  </si>
  <si>
    <t>${rekon_total_30}</t>
  </si>
  <si>
    <t>${rekon_total_31}</t>
  </si>
  <si>
    <t>${rekon_total_32}</t>
  </si>
  <si>
    <t>${rekon_total_33}</t>
  </si>
  <si>
    <t>${rekon_total_34}</t>
  </si>
  <si>
    <t>${rekon_total_35}</t>
  </si>
  <si>
    <t>${rekon_total_36}</t>
  </si>
  <si>
    <t>${rekon_total_37}</t>
  </si>
  <si>
    <t>${rekon_total_38}</t>
  </si>
  <si>
    <t>${rekon_total_39}</t>
  </si>
  <si>
    <t>${rekon_total_40}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</si>
</sst>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i/>
      <sz val="11"/>
      <color theme="1"/>
      <name val="Roboto"/>
    </font>
    <font>
      <sz val="11"/>
      <color theme="1"/>
      <name val="Calibri"/>
      <family val="2"/>
      <scheme val="minor"/>
    </font>
    <font>
      <i/>
      <sz val="11"/>
      <color theme="1"/>
      <name val="Roboto Cn"/>
    </font>
    <font>
      <i/>
      <sz val="11"/>
      <color theme="1"/>
      <name val="Roboto Bk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Robot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3" fontId="4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6" xfId="0" applyFont="1" applyBorder="1"/>
    <xf numFmtId="0" fontId="8" fillId="0" borderId="2" xfId="0" applyFont="1" applyBorder="1"/>
    <xf numFmtId="0" fontId="8" fillId="0" borderId="4" xfId="0" applyFont="1" applyBorder="1"/>
    <xf numFmtId="0" fontId="9" fillId="0" borderId="7" xfId="0" applyFont="1" applyBorder="1" applyAlignment="1">
      <alignment horizontal="center" vertical="center"/>
    </xf>
    <xf numFmtId="0" fontId="9" fillId="0" borderId="0" xfId="0" applyFont="1"/>
    <xf numFmtId="0" fontId="8" fillId="0" borderId="7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3">
    <cellStyle name="Comma 159" xfId="2" xr:uid="{EA5B9A6C-2A5E-41FD-9A5E-ED6A7F3448FA}"/>
    <cellStyle name="Normal" xfId="0" builtinId="0"/>
    <cellStyle name="Normal 341" xfId="1" xr:uid="{20843DDE-309F-4057-AD8A-FC75656EE5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6B4F-57DF-47FB-BB1C-660C38A3A083}">
  <sheetPr>
    <pageSetUpPr fitToPage="1"/>
  </sheetPr>
  <dimension ref="A1:M217"/>
  <sheetViews>
    <sheetView tabSelected="1" topLeftCell="A6" zoomScale="85" zoomScaleNormal="85" zoomScaleSheetLayoutView="100" workbookViewId="0">
      <selection activeCell="S30" sqref="S30"/>
    </sheetView>
  </sheetViews>
  <sheetFormatPr defaultRowHeight="15"/>
  <cols>
    <col min="1" max="1" width="5" style="1" customWidth="1"/>
    <col min="2" max="2" width="5.28515625" style="1" customWidth="1"/>
    <col min="3" max="3" width="4.42578125" style="1" customWidth="1"/>
    <col min="4" max="4" width="36.85546875" style="1" customWidth="1"/>
    <col min="5" max="5" width="3.7109375" style="1" customWidth="1"/>
    <col min="6" max="8" width="9.140625" style="1"/>
    <col min="9" max="9" width="8.140625" style="1" customWidth="1"/>
    <col min="10" max="10" width="12.42578125" style="1" customWidth="1"/>
    <col min="11" max="11" width="14.28515625" style="1" customWidth="1"/>
    <col min="12" max="12" width="16.7109375" style="1" customWidth="1"/>
    <col min="13" max="13" width="20.42578125" style="1" customWidth="1"/>
    <col min="14" max="16384" width="9.140625" style="1"/>
  </cols>
  <sheetData>
    <row r="1" spans="1:13" ht="69" customHeight="1">
      <c r="A1" s="49" t="s">
        <v>204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>
      <c r="D3" s="5"/>
    </row>
    <row r="4" spans="1:13" ht="15.75">
      <c r="A4" s="35" t="s">
        <v>211</v>
      </c>
      <c r="B4" s="36"/>
      <c r="C4" s="36"/>
      <c r="D4" s="37"/>
      <c r="E4" s="26" t="s">
        <v>1</v>
      </c>
      <c r="F4" s="35" t="s">
        <v>2</v>
      </c>
      <c r="G4" s="36"/>
      <c r="H4" s="36"/>
      <c r="I4" s="36"/>
      <c r="J4" s="36"/>
      <c r="K4" s="36"/>
      <c r="L4" s="36"/>
      <c r="M4" s="37"/>
    </row>
    <row r="5" spans="1:13" ht="15.75">
      <c r="A5" s="35" t="s">
        <v>219</v>
      </c>
      <c r="B5" s="36"/>
      <c r="C5" s="36"/>
      <c r="D5" s="37"/>
      <c r="E5" s="26" t="s">
        <v>1</v>
      </c>
      <c r="F5" s="35" t="s">
        <v>3</v>
      </c>
      <c r="G5" s="36"/>
      <c r="H5" s="36"/>
      <c r="I5" s="36"/>
      <c r="J5" s="36"/>
      <c r="K5" s="36"/>
      <c r="L5" s="36"/>
      <c r="M5" s="37"/>
    </row>
    <row r="6" spans="1:13" ht="15.75">
      <c r="A6" s="35" t="s">
        <v>214</v>
      </c>
      <c r="B6" s="36"/>
      <c r="C6" s="36"/>
      <c r="D6" s="37"/>
      <c r="E6" s="26" t="s">
        <v>1</v>
      </c>
      <c r="F6" s="35" t="s">
        <v>4</v>
      </c>
      <c r="G6" s="36"/>
      <c r="H6" s="36"/>
      <c r="I6" s="36"/>
      <c r="J6" s="36"/>
      <c r="K6" s="36"/>
      <c r="L6" s="36"/>
      <c r="M6" s="37"/>
    </row>
    <row r="7" spans="1:13" ht="15.75">
      <c r="A7" s="35" t="s">
        <v>215</v>
      </c>
      <c r="B7" s="36"/>
      <c r="C7" s="36"/>
      <c r="D7" s="37"/>
      <c r="E7" s="26" t="s">
        <v>1</v>
      </c>
      <c r="F7" s="35" t="s">
        <v>5</v>
      </c>
      <c r="G7" s="36"/>
      <c r="H7" s="36"/>
      <c r="I7" s="36"/>
      <c r="J7" s="36"/>
      <c r="K7" s="36"/>
      <c r="L7" s="36"/>
      <c r="M7" s="37"/>
    </row>
    <row r="8" spans="1:13" ht="15.75">
      <c r="A8" s="35" t="s">
        <v>216</v>
      </c>
      <c r="B8" s="36"/>
      <c r="C8" s="36"/>
      <c r="D8" s="37"/>
      <c r="E8" s="26" t="s">
        <v>1</v>
      </c>
      <c r="F8" s="35" t="s">
        <v>205</v>
      </c>
      <c r="G8" s="36"/>
      <c r="H8" s="36"/>
      <c r="I8" s="36"/>
      <c r="J8" s="36"/>
      <c r="K8" s="36"/>
      <c r="L8" s="36"/>
      <c r="M8" s="37"/>
    </row>
    <row r="9" spans="1:13" ht="15.75">
      <c r="A9" s="35" t="s">
        <v>217</v>
      </c>
      <c r="B9" s="36"/>
      <c r="C9" s="36"/>
      <c r="D9" s="37"/>
      <c r="E9" s="26" t="s">
        <v>1</v>
      </c>
      <c r="F9" s="35" t="s">
        <v>206</v>
      </c>
      <c r="G9" s="36"/>
      <c r="H9" s="36"/>
      <c r="I9" s="36"/>
      <c r="J9" s="36"/>
      <c r="K9" s="36"/>
      <c r="L9" s="36"/>
      <c r="M9" s="37"/>
    </row>
    <row r="10" spans="1:13" ht="15.75">
      <c r="A10" s="35" t="s">
        <v>218</v>
      </c>
      <c r="B10" s="36"/>
      <c r="C10" s="36"/>
      <c r="D10" s="37"/>
      <c r="E10" s="26" t="s">
        <v>1</v>
      </c>
      <c r="F10" s="35" t="s">
        <v>207</v>
      </c>
      <c r="G10" s="36"/>
      <c r="H10" s="36"/>
      <c r="I10" s="36"/>
      <c r="J10" s="36"/>
      <c r="K10" s="36"/>
      <c r="L10" s="36"/>
      <c r="M10" s="37"/>
    </row>
    <row r="11" spans="1:13" ht="15" customHeight="1">
      <c r="A11" s="35" t="s">
        <v>220</v>
      </c>
      <c r="B11" s="36"/>
      <c r="C11" s="36"/>
      <c r="D11" s="37"/>
      <c r="E11" s="27" t="s">
        <v>1</v>
      </c>
      <c r="F11" s="51" t="s">
        <v>6</v>
      </c>
      <c r="G11" s="52"/>
      <c r="H11" s="52"/>
      <c r="I11" s="52"/>
      <c r="J11" s="52"/>
      <c r="K11" s="52"/>
      <c r="L11" s="52"/>
      <c r="M11" s="53"/>
    </row>
    <row r="12" spans="1:13" ht="15.75">
      <c r="A12" s="35" t="s">
        <v>212</v>
      </c>
      <c r="B12" s="36"/>
      <c r="C12" s="36"/>
      <c r="D12" s="37"/>
      <c r="E12" s="26" t="s">
        <v>1</v>
      </c>
      <c r="F12" s="35" t="s">
        <v>7</v>
      </c>
      <c r="G12" s="36"/>
      <c r="H12" s="36"/>
      <c r="I12" s="36"/>
      <c r="J12" s="36"/>
      <c r="K12" s="36"/>
      <c r="L12" s="36"/>
      <c r="M12" s="37"/>
    </row>
    <row r="13" spans="1:13" ht="15.75">
      <c r="A13" s="35" t="s">
        <v>213</v>
      </c>
      <c r="B13" s="36"/>
      <c r="C13" s="36"/>
      <c r="D13" s="37"/>
      <c r="E13" s="26" t="s">
        <v>1</v>
      </c>
      <c r="F13" s="35" t="s">
        <v>8</v>
      </c>
      <c r="G13" s="36"/>
      <c r="H13" s="36"/>
      <c r="I13" s="36"/>
      <c r="J13" s="36"/>
      <c r="K13" s="36"/>
      <c r="L13" s="36"/>
      <c r="M13" s="37"/>
    </row>
    <row r="14" spans="1:13" ht="15.75">
      <c r="A14" s="35" t="s">
        <v>221</v>
      </c>
      <c r="B14" s="36"/>
      <c r="C14" s="36"/>
      <c r="D14" s="37"/>
      <c r="E14" s="26" t="s">
        <v>1</v>
      </c>
      <c r="F14" s="35" t="s">
        <v>9</v>
      </c>
      <c r="G14" s="36"/>
      <c r="H14" s="36"/>
      <c r="I14" s="36"/>
      <c r="J14" s="36"/>
      <c r="K14" s="36"/>
      <c r="L14" s="36"/>
      <c r="M14" s="37"/>
    </row>
    <row r="15" spans="1:13" s="6" customFormat="1" ht="15.75">
      <c r="A15" s="62" t="s">
        <v>222</v>
      </c>
      <c r="B15" s="62"/>
      <c r="C15" s="62"/>
      <c r="D15" s="62"/>
      <c r="E15" s="27" t="s">
        <v>1</v>
      </c>
      <c r="F15" s="62" t="s">
        <v>10</v>
      </c>
      <c r="G15" s="62"/>
      <c r="H15" s="62"/>
      <c r="I15" s="62"/>
      <c r="J15" s="62"/>
      <c r="K15" s="62"/>
      <c r="L15" s="62"/>
      <c r="M15" s="62"/>
    </row>
    <row r="16" spans="1:13" ht="66.75" customHeight="1">
      <c r="A16" s="63" t="s">
        <v>168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 spans="1:13" ht="15.75">
      <c r="A17" s="28" t="s">
        <v>63</v>
      </c>
      <c r="B17" s="66" t="s">
        <v>12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</row>
    <row r="18" spans="1:13" ht="15.75">
      <c r="A18" s="29"/>
      <c r="B18" s="55" t="s">
        <v>11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</row>
    <row r="19" spans="1:13" ht="15.75">
      <c r="A19" s="29"/>
      <c r="B19" s="30" t="s">
        <v>49</v>
      </c>
      <c r="C19" s="31"/>
      <c r="D19" s="64" t="s">
        <v>13</v>
      </c>
      <c r="E19" s="64"/>
      <c r="F19" s="64"/>
      <c r="G19" s="64"/>
      <c r="H19" s="64"/>
      <c r="I19" s="32"/>
      <c r="J19" s="39" t="s">
        <v>14</v>
      </c>
      <c r="K19" s="40"/>
      <c r="L19" s="65" t="s">
        <v>15</v>
      </c>
      <c r="M19" s="65"/>
    </row>
    <row r="20" spans="1:13" ht="15.75">
      <c r="A20" s="29"/>
      <c r="B20" s="33">
        <v>1</v>
      </c>
      <c r="C20" s="43" t="s">
        <v>65</v>
      </c>
      <c r="D20" s="44"/>
      <c r="E20" s="44"/>
      <c r="F20" s="44"/>
      <c r="G20" s="44"/>
      <c r="H20" s="44"/>
      <c r="I20" s="45"/>
      <c r="J20" s="41" t="s">
        <v>66</v>
      </c>
      <c r="K20" s="42"/>
      <c r="L20" s="54" t="s">
        <v>183</v>
      </c>
      <c r="M20" s="54"/>
    </row>
    <row r="21" spans="1:13" ht="15.75">
      <c r="A21" s="29"/>
      <c r="B21" s="33">
        <v>2</v>
      </c>
      <c r="C21" s="43" t="s">
        <v>67</v>
      </c>
      <c r="D21" s="44"/>
      <c r="E21" s="44"/>
      <c r="F21" s="44"/>
      <c r="G21" s="44"/>
      <c r="H21" s="44"/>
      <c r="I21" s="45"/>
      <c r="J21" s="41" t="s">
        <v>68</v>
      </c>
      <c r="K21" s="42"/>
      <c r="L21" s="54" t="s">
        <v>184</v>
      </c>
      <c r="M21" s="54"/>
    </row>
    <row r="22" spans="1:13" ht="15.75">
      <c r="A22" s="29"/>
      <c r="B22" s="33">
        <v>3</v>
      </c>
      <c r="C22" s="43" t="s">
        <v>87</v>
      </c>
      <c r="D22" s="44"/>
      <c r="E22" s="44"/>
      <c r="F22" s="44"/>
      <c r="G22" s="44"/>
      <c r="H22" s="44"/>
      <c r="I22" s="45"/>
      <c r="J22" s="41" t="s">
        <v>69</v>
      </c>
      <c r="K22" s="42"/>
      <c r="L22" s="41" t="s">
        <v>185</v>
      </c>
      <c r="M22" s="42"/>
    </row>
    <row r="23" spans="1:13" ht="15.75">
      <c r="A23" s="29"/>
      <c r="B23" s="33">
        <v>4</v>
      </c>
      <c r="C23" s="43" t="s">
        <v>88</v>
      </c>
      <c r="D23" s="44"/>
      <c r="E23" s="44"/>
      <c r="F23" s="44"/>
      <c r="G23" s="44"/>
      <c r="H23" s="44"/>
      <c r="I23" s="45"/>
      <c r="J23" s="41" t="s">
        <v>70</v>
      </c>
      <c r="K23" s="42"/>
      <c r="L23" s="41" t="s">
        <v>186</v>
      </c>
      <c r="M23" s="42"/>
    </row>
    <row r="24" spans="1:13" ht="15.75">
      <c r="A24" s="29"/>
      <c r="B24" s="33">
        <v>5</v>
      </c>
      <c r="C24" s="43" t="s">
        <v>89</v>
      </c>
      <c r="D24" s="44"/>
      <c r="E24" s="44"/>
      <c r="F24" s="44"/>
      <c r="G24" s="44"/>
      <c r="H24" s="44"/>
      <c r="I24" s="45"/>
      <c r="J24" s="41" t="s">
        <v>71</v>
      </c>
      <c r="K24" s="42"/>
      <c r="L24" s="41" t="s">
        <v>187</v>
      </c>
      <c r="M24" s="42"/>
    </row>
    <row r="25" spans="1:13" ht="15.75">
      <c r="A25" s="29"/>
      <c r="B25" s="33">
        <v>6</v>
      </c>
      <c r="C25" s="43" t="s">
        <v>90</v>
      </c>
      <c r="D25" s="44"/>
      <c r="E25" s="44"/>
      <c r="F25" s="44"/>
      <c r="G25" s="44"/>
      <c r="H25" s="44"/>
      <c r="I25" s="45"/>
      <c r="J25" s="41" t="s">
        <v>72</v>
      </c>
      <c r="K25" s="42"/>
      <c r="L25" s="41" t="s">
        <v>188</v>
      </c>
      <c r="M25" s="42"/>
    </row>
    <row r="26" spans="1:13" ht="15.75">
      <c r="A26" s="29"/>
      <c r="B26" s="33">
        <v>7</v>
      </c>
      <c r="C26" s="43" t="s">
        <v>91</v>
      </c>
      <c r="D26" s="44"/>
      <c r="E26" s="44"/>
      <c r="F26" s="44"/>
      <c r="G26" s="44"/>
      <c r="H26" s="44"/>
      <c r="I26" s="45"/>
      <c r="J26" s="41" t="s">
        <v>73</v>
      </c>
      <c r="K26" s="42"/>
      <c r="L26" s="41" t="s">
        <v>189</v>
      </c>
      <c r="M26" s="42"/>
    </row>
    <row r="27" spans="1:13" ht="15.75">
      <c r="A27" s="29"/>
      <c r="B27" s="33">
        <v>8</v>
      </c>
      <c r="C27" s="43" t="s">
        <v>92</v>
      </c>
      <c r="D27" s="44"/>
      <c r="E27" s="44"/>
      <c r="F27" s="44"/>
      <c r="G27" s="44"/>
      <c r="H27" s="44"/>
      <c r="I27" s="45"/>
      <c r="J27" s="41" t="s">
        <v>74</v>
      </c>
      <c r="K27" s="42"/>
      <c r="L27" s="41" t="s">
        <v>190</v>
      </c>
      <c r="M27" s="42"/>
    </row>
    <row r="28" spans="1:13" ht="15.75">
      <c r="A28" s="29"/>
      <c r="B28" s="33">
        <v>9</v>
      </c>
      <c r="C28" s="43" t="s">
        <v>93</v>
      </c>
      <c r="D28" s="44"/>
      <c r="E28" s="44"/>
      <c r="F28" s="44"/>
      <c r="G28" s="44"/>
      <c r="H28" s="44"/>
      <c r="I28" s="45"/>
      <c r="J28" s="41" t="s">
        <v>75</v>
      </c>
      <c r="K28" s="42"/>
      <c r="L28" s="41" t="s">
        <v>191</v>
      </c>
      <c r="M28" s="42"/>
    </row>
    <row r="29" spans="1:13" ht="15.75">
      <c r="A29" s="29"/>
      <c r="B29" s="33">
        <v>10</v>
      </c>
      <c r="C29" s="43" t="s">
        <v>94</v>
      </c>
      <c r="D29" s="44"/>
      <c r="E29" s="44"/>
      <c r="F29" s="44"/>
      <c r="G29" s="44"/>
      <c r="H29" s="44"/>
      <c r="I29" s="45"/>
      <c r="J29" s="41" t="s">
        <v>76</v>
      </c>
      <c r="K29" s="42"/>
      <c r="L29" s="41" t="s">
        <v>192</v>
      </c>
      <c r="M29" s="42"/>
    </row>
    <row r="30" spans="1:13" ht="15.75">
      <c r="A30" s="29"/>
      <c r="B30" s="33">
        <v>11</v>
      </c>
      <c r="C30" s="43" t="s">
        <v>95</v>
      </c>
      <c r="D30" s="44"/>
      <c r="E30" s="44"/>
      <c r="F30" s="44"/>
      <c r="G30" s="44"/>
      <c r="H30" s="44"/>
      <c r="I30" s="45"/>
      <c r="J30" s="41" t="s">
        <v>77</v>
      </c>
      <c r="K30" s="42"/>
      <c r="L30" s="41" t="s">
        <v>193</v>
      </c>
      <c r="M30" s="42"/>
    </row>
    <row r="31" spans="1:13" ht="15.75">
      <c r="A31" s="29"/>
      <c r="B31" s="33">
        <v>12</v>
      </c>
      <c r="C31" s="43" t="s">
        <v>96</v>
      </c>
      <c r="D31" s="44"/>
      <c r="E31" s="44"/>
      <c r="F31" s="44"/>
      <c r="G31" s="44"/>
      <c r="H31" s="44"/>
      <c r="I31" s="45"/>
      <c r="J31" s="41" t="s">
        <v>78</v>
      </c>
      <c r="K31" s="42"/>
      <c r="L31" s="41" t="s">
        <v>194</v>
      </c>
      <c r="M31" s="42"/>
    </row>
    <row r="32" spans="1:13" ht="15.75">
      <c r="A32" s="29"/>
      <c r="B32" s="33">
        <v>13</v>
      </c>
      <c r="C32" s="43" t="s">
        <v>97</v>
      </c>
      <c r="D32" s="44"/>
      <c r="E32" s="44"/>
      <c r="F32" s="44"/>
      <c r="G32" s="44"/>
      <c r="H32" s="44"/>
      <c r="I32" s="45"/>
      <c r="J32" s="41" t="s">
        <v>79</v>
      </c>
      <c r="K32" s="42"/>
      <c r="L32" s="41" t="s">
        <v>195</v>
      </c>
      <c r="M32" s="42"/>
    </row>
    <row r="33" spans="1:13" ht="15.75">
      <c r="A33" s="29"/>
      <c r="B33" s="33">
        <v>14</v>
      </c>
      <c r="C33" s="43" t="s">
        <v>98</v>
      </c>
      <c r="D33" s="44"/>
      <c r="E33" s="44"/>
      <c r="F33" s="44"/>
      <c r="G33" s="44"/>
      <c r="H33" s="44"/>
      <c r="I33" s="45"/>
      <c r="J33" s="41" t="s">
        <v>80</v>
      </c>
      <c r="K33" s="42"/>
      <c r="L33" s="41" t="s">
        <v>196</v>
      </c>
      <c r="M33" s="42"/>
    </row>
    <row r="34" spans="1:13" ht="15.75">
      <c r="A34" s="29"/>
      <c r="B34" s="33">
        <v>15</v>
      </c>
      <c r="C34" s="43" t="s">
        <v>99</v>
      </c>
      <c r="D34" s="44"/>
      <c r="E34" s="44"/>
      <c r="F34" s="44"/>
      <c r="G34" s="44"/>
      <c r="H34" s="44"/>
      <c r="I34" s="45"/>
      <c r="J34" s="41" t="s">
        <v>81</v>
      </c>
      <c r="K34" s="42"/>
      <c r="L34" s="41" t="s">
        <v>197</v>
      </c>
      <c r="M34" s="42"/>
    </row>
    <row r="35" spans="1:13" ht="15.75">
      <c r="A35" s="29"/>
      <c r="B35" s="33">
        <v>16</v>
      </c>
      <c r="C35" s="43" t="s">
        <v>100</v>
      </c>
      <c r="D35" s="44"/>
      <c r="E35" s="44"/>
      <c r="F35" s="44"/>
      <c r="G35" s="44"/>
      <c r="H35" s="44"/>
      <c r="I35" s="45"/>
      <c r="J35" s="41" t="s">
        <v>82</v>
      </c>
      <c r="K35" s="42"/>
      <c r="L35" s="41" t="s">
        <v>198</v>
      </c>
      <c r="M35" s="42"/>
    </row>
    <row r="36" spans="1:13" ht="15.75">
      <c r="A36" s="29"/>
      <c r="B36" s="33">
        <v>17</v>
      </c>
      <c r="C36" s="43" t="s">
        <v>101</v>
      </c>
      <c r="D36" s="44"/>
      <c r="E36" s="44"/>
      <c r="F36" s="44"/>
      <c r="G36" s="44"/>
      <c r="H36" s="44"/>
      <c r="I36" s="45"/>
      <c r="J36" s="41" t="s">
        <v>83</v>
      </c>
      <c r="K36" s="42"/>
      <c r="L36" s="41" t="s">
        <v>199</v>
      </c>
      <c r="M36" s="42"/>
    </row>
    <row r="37" spans="1:13" ht="15.75">
      <c r="A37" s="29"/>
      <c r="B37" s="33">
        <v>18</v>
      </c>
      <c r="C37" s="43" t="s">
        <v>102</v>
      </c>
      <c r="D37" s="44"/>
      <c r="E37" s="44"/>
      <c r="F37" s="44"/>
      <c r="G37" s="44"/>
      <c r="H37" s="44"/>
      <c r="I37" s="45"/>
      <c r="J37" s="41" t="s">
        <v>84</v>
      </c>
      <c r="K37" s="42"/>
      <c r="L37" s="41" t="s">
        <v>200</v>
      </c>
      <c r="M37" s="42"/>
    </row>
    <row r="38" spans="1:13" ht="15.75">
      <c r="A38" s="29"/>
      <c r="B38" s="33">
        <v>19</v>
      </c>
      <c r="C38" s="43" t="s">
        <v>103</v>
      </c>
      <c r="D38" s="44"/>
      <c r="E38" s="44"/>
      <c r="F38" s="44"/>
      <c r="G38" s="44"/>
      <c r="H38" s="44"/>
      <c r="I38" s="45"/>
      <c r="J38" s="41" t="s">
        <v>85</v>
      </c>
      <c r="K38" s="42"/>
      <c r="L38" s="41" t="s">
        <v>201</v>
      </c>
      <c r="M38" s="42"/>
    </row>
    <row r="39" spans="1:13" ht="15.75">
      <c r="A39" s="29"/>
      <c r="B39" s="33">
        <v>20</v>
      </c>
      <c r="C39" s="43" t="s">
        <v>104</v>
      </c>
      <c r="D39" s="44"/>
      <c r="E39" s="44"/>
      <c r="F39" s="44"/>
      <c r="G39" s="44"/>
      <c r="H39" s="44"/>
      <c r="I39" s="45"/>
      <c r="J39" s="41" t="s">
        <v>86</v>
      </c>
      <c r="K39" s="42"/>
      <c r="L39" s="41" t="s">
        <v>202</v>
      </c>
      <c r="M39" s="42"/>
    </row>
    <row r="40" spans="1:13" ht="15.75">
      <c r="A40" s="29"/>
      <c r="B40" s="33">
        <v>21</v>
      </c>
      <c r="C40" s="43" t="s">
        <v>223</v>
      </c>
      <c r="D40" s="44"/>
      <c r="E40" s="44"/>
      <c r="F40" s="44"/>
      <c r="G40" s="44"/>
      <c r="H40" s="44"/>
      <c r="I40" s="45"/>
      <c r="J40" s="41" t="s">
        <v>243</v>
      </c>
      <c r="K40" s="42"/>
      <c r="L40" s="54" t="s">
        <v>263</v>
      </c>
      <c r="M40" s="54"/>
    </row>
    <row r="41" spans="1:13" ht="15.75">
      <c r="A41" s="29"/>
      <c r="B41" s="33">
        <v>22</v>
      </c>
      <c r="C41" s="43" t="s">
        <v>224</v>
      </c>
      <c r="D41" s="44"/>
      <c r="E41" s="44"/>
      <c r="F41" s="44"/>
      <c r="G41" s="44"/>
      <c r="H41" s="44"/>
      <c r="I41" s="45"/>
      <c r="J41" s="41" t="s">
        <v>244</v>
      </c>
      <c r="K41" s="42"/>
      <c r="L41" s="54" t="s">
        <v>264</v>
      </c>
      <c r="M41" s="54"/>
    </row>
    <row r="42" spans="1:13" ht="15.75">
      <c r="A42" s="29"/>
      <c r="B42" s="33">
        <v>23</v>
      </c>
      <c r="C42" s="43" t="s">
        <v>225</v>
      </c>
      <c r="D42" s="44"/>
      <c r="E42" s="44"/>
      <c r="F42" s="44"/>
      <c r="G42" s="44"/>
      <c r="H42" s="44"/>
      <c r="I42" s="45"/>
      <c r="J42" s="41" t="s">
        <v>245</v>
      </c>
      <c r="K42" s="42"/>
      <c r="L42" s="41" t="s">
        <v>265</v>
      </c>
      <c r="M42" s="42"/>
    </row>
    <row r="43" spans="1:13" ht="15.75">
      <c r="A43" s="29"/>
      <c r="B43" s="33">
        <v>24</v>
      </c>
      <c r="C43" s="43" t="s">
        <v>226</v>
      </c>
      <c r="D43" s="44"/>
      <c r="E43" s="44"/>
      <c r="F43" s="44"/>
      <c r="G43" s="44"/>
      <c r="H43" s="44"/>
      <c r="I43" s="45"/>
      <c r="J43" s="41" t="s">
        <v>246</v>
      </c>
      <c r="K43" s="42"/>
      <c r="L43" s="41" t="s">
        <v>266</v>
      </c>
      <c r="M43" s="42"/>
    </row>
    <row r="44" spans="1:13" ht="15.75">
      <c r="A44" s="29"/>
      <c r="B44" s="33">
        <v>25</v>
      </c>
      <c r="C44" s="43" t="s">
        <v>227</v>
      </c>
      <c r="D44" s="44"/>
      <c r="E44" s="44"/>
      <c r="F44" s="44"/>
      <c r="G44" s="44"/>
      <c r="H44" s="44"/>
      <c r="I44" s="45"/>
      <c r="J44" s="41" t="s">
        <v>247</v>
      </c>
      <c r="K44" s="42"/>
      <c r="L44" s="41" t="s">
        <v>267</v>
      </c>
      <c r="M44" s="42"/>
    </row>
    <row r="45" spans="1:13" ht="15.75">
      <c r="A45" s="29"/>
      <c r="B45" s="33">
        <v>26</v>
      </c>
      <c r="C45" s="43" t="s">
        <v>228</v>
      </c>
      <c r="D45" s="44"/>
      <c r="E45" s="44"/>
      <c r="F45" s="44"/>
      <c r="G45" s="44"/>
      <c r="H45" s="44"/>
      <c r="I45" s="45"/>
      <c r="J45" s="41" t="s">
        <v>248</v>
      </c>
      <c r="K45" s="42"/>
      <c r="L45" s="41" t="s">
        <v>268</v>
      </c>
      <c r="M45" s="42"/>
    </row>
    <row r="46" spans="1:13" ht="15.75">
      <c r="A46" s="29"/>
      <c r="B46" s="33">
        <v>27</v>
      </c>
      <c r="C46" s="43" t="s">
        <v>229</v>
      </c>
      <c r="D46" s="44"/>
      <c r="E46" s="44"/>
      <c r="F46" s="44"/>
      <c r="G46" s="44"/>
      <c r="H46" s="44"/>
      <c r="I46" s="45"/>
      <c r="J46" s="41" t="s">
        <v>249</v>
      </c>
      <c r="K46" s="42"/>
      <c r="L46" s="41" t="s">
        <v>269</v>
      </c>
      <c r="M46" s="42"/>
    </row>
    <row r="47" spans="1:13" ht="15.75">
      <c r="A47" s="29"/>
      <c r="B47" s="33">
        <v>28</v>
      </c>
      <c r="C47" s="43" t="s">
        <v>230</v>
      </c>
      <c r="D47" s="44"/>
      <c r="E47" s="44"/>
      <c r="F47" s="44"/>
      <c r="G47" s="44"/>
      <c r="H47" s="44"/>
      <c r="I47" s="45"/>
      <c r="J47" s="41" t="s">
        <v>250</v>
      </c>
      <c r="K47" s="42"/>
      <c r="L47" s="41" t="s">
        <v>270</v>
      </c>
      <c r="M47" s="42"/>
    </row>
    <row r="48" spans="1:13" ht="15.75">
      <c r="A48" s="29"/>
      <c r="B48" s="33">
        <v>29</v>
      </c>
      <c r="C48" s="43" t="s">
        <v>231</v>
      </c>
      <c r="D48" s="44"/>
      <c r="E48" s="44"/>
      <c r="F48" s="44"/>
      <c r="G48" s="44"/>
      <c r="H48" s="44"/>
      <c r="I48" s="45"/>
      <c r="J48" s="41" t="s">
        <v>251</v>
      </c>
      <c r="K48" s="42"/>
      <c r="L48" s="41" t="s">
        <v>271</v>
      </c>
      <c r="M48" s="42"/>
    </row>
    <row r="49" spans="1:13" ht="15.75">
      <c r="A49" s="29"/>
      <c r="B49" s="33">
        <v>30</v>
      </c>
      <c r="C49" s="43" t="s">
        <v>232</v>
      </c>
      <c r="D49" s="44"/>
      <c r="E49" s="44"/>
      <c r="F49" s="44"/>
      <c r="G49" s="44"/>
      <c r="H49" s="44"/>
      <c r="I49" s="45"/>
      <c r="J49" s="41" t="s">
        <v>252</v>
      </c>
      <c r="K49" s="42"/>
      <c r="L49" s="41" t="s">
        <v>272</v>
      </c>
      <c r="M49" s="42"/>
    </row>
    <row r="50" spans="1:13" ht="15.75">
      <c r="A50" s="29"/>
      <c r="B50" s="33">
        <v>31</v>
      </c>
      <c r="C50" s="43" t="s">
        <v>233</v>
      </c>
      <c r="D50" s="44"/>
      <c r="E50" s="44"/>
      <c r="F50" s="44"/>
      <c r="G50" s="44"/>
      <c r="H50" s="44"/>
      <c r="I50" s="45"/>
      <c r="J50" s="41" t="s">
        <v>253</v>
      </c>
      <c r="K50" s="42"/>
      <c r="L50" s="54" t="s">
        <v>273</v>
      </c>
      <c r="M50" s="54"/>
    </row>
    <row r="51" spans="1:13" ht="15.75">
      <c r="A51" s="29"/>
      <c r="B51" s="33">
        <v>32</v>
      </c>
      <c r="C51" s="43" t="s">
        <v>234</v>
      </c>
      <c r="D51" s="44"/>
      <c r="E51" s="44"/>
      <c r="F51" s="44"/>
      <c r="G51" s="44"/>
      <c r="H51" s="44"/>
      <c r="I51" s="45"/>
      <c r="J51" s="41" t="s">
        <v>254</v>
      </c>
      <c r="K51" s="42"/>
      <c r="L51" s="54" t="s">
        <v>274</v>
      </c>
      <c r="M51" s="54"/>
    </row>
    <row r="52" spans="1:13" ht="15.75">
      <c r="A52" s="29"/>
      <c r="B52" s="33">
        <v>33</v>
      </c>
      <c r="C52" s="43" t="s">
        <v>235</v>
      </c>
      <c r="D52" s="44"/>
      <c r="E52" s="44"/>
      <c r="F52" s="44"/>
      <c r="G52" s="44"/>
      <c r="H52" s="44"/>
      <c r="I52" s="45"/>
      <c r="J52" s="41" t="s">
        <v>255</v>
      </c>
      <c r="K52" s="42"/>
      <c r="L52" s="41" t="s">
        <v>275</v>
      </c>
      <c r="M52" s="42"/>
    </row>
    <row r="53" spans="1:13" ht="15.75">
      <c r="A53" s="29"/>
      <c r="B53" s="33">
        <v>34</v>
      </c>
      <c r="C53" s="43" t="s">
        <v>236</v>
      </c>
      <c r="D53" s="44"/>
      <c r="E53" s="44"/>
      <c r="F53" s="44"/>
      <c r="G53" s="44"/>
      <c r="H53" s="44"/>
      <c r="I53" s="45"/>
      <c r="J53" s="41" t="s">
        <v>256</v>
      </c>
      <c r="K53" s="42"/>
      <c r="L53" s="41" t="s">
        <v>276</v>
      </c>
      <c r="M53" s="42"/>
    </row>
    <row r="54" spans="1:13" ht="15.75">
      <c r="A54" s="29"/>
      <c r="B54" s="33">
        <v>35</v>
      </c>
      <c r="C54" s="43" t="s">
        <v>237</v>
      </c>
      <c r="D54" s="44"/>
      <c r="E54" s="44"/>
      <c r="F54" s="44"/>
      <c r="G54" s="44"/>
      <c r="H54" s="44"/>
      <c r="I54" s="45"/>
      <c r="J54" s="41" t="s">
        <v>257</v>
      </c>
      <c r="K54" s="42"/>
      <c r="L54" s="41" t="s">
        <v>277</v>
      </c>
      <c r="M54" s="42"/>
    </row>
    <row r="55" spans="1:13" ht="15.75">
      <c r="A55" s="29"/>
      <c r="B55" s="33">
        <v>36</v>
      </c>
      <c r="C55" s="43" t="s">
        <v>238</v>
      </c>
      <c r="D55" s="44"/>
      <c r="E55" s="44"/>
      <c r="F55" s="44"/>
      <c r="G55" s="44"/>
      <c r="H55" s="44"/>
      <c r="I55" s="45"/>
      <c r="J55" s="41" t="s">
        <v>258</v>
      </c>
      <c r="K55" s="42"/>
      <c r="L55" s="41" t="s">
        <v>278</v>
      </c>
      <c r="M55" s="42"/>
    </row>
    <row r="56" spans="1:13" ht="15.75">
      <c r="A56" s="29"/>
      <c r="B56" s="33">
        <v>37</v>
      </c>
      <c r="C56" s="43" t="s">
        <v>239</v>
      </c>
      <c r="D56" s="44"/>
      <c r="E56" s="44"/>
      <c r="F56" s="44"/>
      <c r="G56" s="44"/>
      <c r="H56" s="44"/>
      <c r="I56" s="45"/>
      <c r="J56" s="41" t="s">
        <v>259</v>
      </c>
      <c r="K56" s="42"/>
      <c r="L56" s="41" t="s">
        <v>279</v>
      </c>
      <c r="M56" s="42"/>
    </row>
    <row r="57" spans="1:13" ht="15.75">
      <c r="A57" s="29"/>
      <c r="B57" s="33">
        <v>38</v>
      </c>
      <c r="C57" s="43" t="s">
        <v>240</v>
      </c>
      <c r="D57" s="44"/>
      <c r="E57" s="44"/>
      <c r="F57" s="44"/>
      <c r="G57" s="44"/>
      <c r="H57" s="44"/>
      <c r="I57" s="45"/>
      <c r="J57" s="41" t="s">
        <v>260</v>
      </c>
      <c r="K57" s="42"/>
      <c r="L57" s="41" t="s">
        <v>280</v>
      </c>
      <c r="M57" s="42"/>
    </row>
    <row r="58" spans="1:13" ht="15.75">
      <c r="A58" s="29"/>
      <c r="B58" s="33">
        <v>39</v>
      </c>
      <c r="C58" s="43" t="s">
        <v>241</v>
      </c>
      <c r="D58" s="44"/>
      <c r="E58" s="44"/>
      <c r="F58" s="44"/>
      <c r="G58" s="44"/>
      <c r="H58" s="44"/>
      <c r="I58" s="45"/>
      <c r="J58" s="41" t="s">
        <v>261</v>
      </c>
      <c r="K58" s="42"/>
      <c r="L58" s="41" t="s">
        <v>281</v>
      </c>
      <c r="M58" s="42"/>
    </row>
    <row r="59" spans="1:13" ht="15.75">
      <c r="A59" s="29"/>
      <c r="B59" s="33">
        <v>40</v>
      </c>
      <c r="C59" s="43" t="s">
        <v>242</v>
      </c>
      <c r="D59" s="44"/>
      <c r="E59" s="44"/>
      <c r="F59" s="44"/>
      <c r="G59" s="44"/>
      <c r="H59" s="44"/>
      <c r="I59" s="45"/>
      <c r="J59" s="41" t="s">
        <v>262</v>
      </c>
      <c r="K59" s="42"/>
      <c r="L59" s="41" t="s">
        <v>282</v>
      </c>
      <c r="M59" s="42"/>
    </row>
    <row r="60" spans="1:13" ht="15.75">
      <c r="A60" s="29"/>
      <c r="B60" s="71" t="s">
        <v>16</v>
      </c>
      <c r="C60" s="71"/>
      <c r="D60" s="71"/>
      <c r="E60" s="71"/>
      <c r="F60" s="71"/>
      <c r="G60" s="71"/>
      <c r="H60" s="34"/>
      <c r="I60" s="34"/>
      <c r="J60" s="34"/>
      <c r="K60" s="34"/>
      <c r="L60" s="34"/>
      <c r="M60" s="34"/>
    </row>
    <row r="61" spans="1:13">
      <c r="A61" s="11"/>
    </row>
    <row r="62" spans="1:13">
      <c r="A62" s="14" t="s">
        <v>60</v>
      </c>
      <c r="B62" s="56" t="s">
        <v>17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</row>
    <row r="63" spans="1:13">
      <c r="A63" s="11"/>
      <c r="B63" s="9" t="s">
        <v>62</v>
      </c>
      <c r="C63" s="9" t="s">
        <v>18</v>
      </c>
      <c r="D63" s="9"/>
      <c r="E63" s="9"/>
      <c r="F63" s="9"/>
    </row>
    <row r="64" spans="1:13" ht="40.5" customHeight="1">
      <c r="A64" s="11"/>
      <c r="C64" s="83" t="s">
        <v>41</v>
      </c>
      <c r="D64" s="83"/>
      <c r="E64" s="83"/>
      <c r="F64" s="83"/>
      <c r="G64" s="83"/>
      <c r="H64" s="83"/>
      <c r="I64" s="83"/>
      <c r="J64" s="83"/>
      <c r="K64" s="83"/>
      <c r="L64" s="83"/>
      <c r="M64" s="83"/>
    </row>
    <row r="65" spans="1:13">
      <c r="A65" s="11"/>
      <c r="B65" s="9" t="s">
        <v>61</v>
      </c>
      <c r="C65" s="72" t="s">
        <v>19</v>
      </c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spans="1:13">
      <c r="A66" s="11"/>
      <c r="B66" s="9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ht="57.75" customHeight="1">
      <c r="A67" s="11"/>
      <c r="C67" s="84" t="s">
        <v>182</v>
      </c>
      <c r="D67" s="84"/>
      <c r="E67" s="84"/>
      <c r="F67" s="84"/>
      <c r="G67" s="84"/>
      <c r="H67" s="84"/>
      <c r="I67" s="84"/>
      <c r="J67" s="84"/>
      <c r="K67" s="84"/>
      <c r="L67" s="84"/>
      <c r="M67" s="84"/>
    </row>
    <row r="68" spans="1:13">
      <c r="A68" s="11"/>
      <c r="C68" s="3" t="s">
        <v>64</v>
      </c>
      <c r="D68" s="57" t="s">
        <v>20</v>
      </c>
      <c r="E68" s="58"/>
      <c r="F68" s="58"/>
      <c r="G68" s="58"/>
      <c r="H68" s="58"/>
      <c r="I68" s="58"/>
      <c r="J68" s="58"/>
      <c r="K68" s="58"/>
      <c r="L68" s="58"/>
      <c r="M68" s="3" t="s">
        <v>21</v>
      </c>
    </row>
    <row r="69" spans="1:13">
      <c r="A69" s="11"/>
      <c r="C69" s="68">
        <v>1</v>
      </c>
      <c r="D69" s="46" t="s">
        <v>22</v>
      </c>
      <c r="E69" s="47"/>
      <c r="F69" s="47"/>
      <c r="G69" s="47"/>
      <c r="H69" s="47"/>
      <c r="I69" s="47"/>
      <c r="J69" s="47"/>
      <c r="K69" s="47"/>
      <c r="L69" s="48"/>
      <c r="M69" s="15"/>
    </row>
    <row r="70" spans="1:13" ht="15" customHeight="1">
      <c r="A70" s="11"/>
      <c r="C70" s="69"/>
      <c r="D70" s="59" t="s">
        <v>6</v>
      </c>
      <c r="E70" s="60"/>
      <c r="F70" s="60"/>
      <c r="G70" s="60"/>
      <c r="H70" s="60"/>
      <c r="I70" s="60"/>
      <c r="J70" s="60"/>
      <c r="K70" s="60"/>
      <c r="L70" s="61"/>
      <c r="M70" s="16"/>
    </row>
    <row r="71" spans="1:13">
      <c r="A71" s="11"/>
      <c r="C71" s="69"/>
      <c r="D71" s="46" t="s">
        <v>23</v>
      </c>
      <c r="E71" s="47"/>
      <c r="F71" s="47"/>
      <c r="G71" s="47"/>
      <c r="H71" s="47"/>
      <c r="I71" s="47"/>
      <c r="J71" s="47"/>
      <c r="K71" s="47"/>
      <c r="L71" s="48"/>
      <c r="M71" s="20" t="s">
        <v>169</v>
      </c>
    </row>
    <row r="72" spans="1:13">
      <c r="A72" s="11"/>
      <c r="C72" s="69"/>
      <c r="D72" s="46" t="s">
        <v>25</v>
      </c>
      <c r="E72" s="47"/>
      <c r="F72" s="47"/>
      <c r="G72" s="47"/>
      <c r="H72" s="47"/>
      <c r="I72" s="47"/>
      <c r="J72" s="47"/>
      <c r="K72" s="47"/>
      <c r="L72" s="48"/>
      <c r="M72" s="20" t="s">
        <v>170</v>
      </c>
    </row>
    <row r="73" spans="1:13">
      <c r="A73" s="11"/>
      <c r="C73" s="69"/>
      <c r="D73" s="46" t="s">
        <v>24</v>
      </c>
      <c r="E73" s="47"/>
      <c r="F73" s="47"/>
      <c r="G73" s="47"/>
      <c r="H73" s="47"/>
      <c r="I73" s="47"/>
      <c r="J73" s="47"/>
      <c r="K73" s="47"/>
      <c r="L73" s="48"/>
      <c r="M73" s="20">
        <f>SUM(M71:M72)</f>
        <v>0</v>
      </c>
    </row>
    <row r="74" spans="1:13">
      <c r="A74" s="11"/>
      <c r="C74" s="69"/>
      <c r="D74" s="46" t="s">
        <v>26</v>
      </c>
      <c r="E74" s="47"/>
      <c r="F74" s="47"/>
      <c r="G74" s="47"/>
      <c r="H74" s="47"/>
      <c r="I74" s="47"/>
      <c r="J74" s="47"/>
      <c r="K74" s="47"/>
      <c r="L74" s="48"/>
      <c r="M74" s="20">
        <f>11%*M73</f>
        <v>0</v>
      </c>
    </row>
    <row r="75" spans="1:13">
      <c r="A75" s="11"/>
      <c r="C75" s="70"/>
      <c r="D75" s="46" t="s">
        <v>27</v>
      </c>
      <c r="E75" s="47"/>
      <c r="F75" s="47"/>
      <c r="G75" s="47"/>
      <c r="H75" s="47"/>
      <c r="I75" s="47"/>
      <c r="J75" s="47"/>
      <c r="K75" s="47"/>
      <c r="L75" s="48"/>
      <c r="M75" s="21">
        <f>SUM(M73:M74)</f>
        <v>0</v>
      </c>
    </row>
    <row r="76" spans="1:13">
      <c r="A76" s="11"/>
      <c r="C76" s="68">
        <v>2</v>
      </c>
      <c r="D76" s="46" t="s">
        <v>178</v>
      </c>
      <c r="E76" s="47"/>
      <c r="F76" s="47"/>
      <c r="G76" s="47"/>
      <c r="H76" s="47"/>
      <c r="I76" s="47"/>
      <c r="J76" s="47"/>
      <c r="K76" s="47"/>
      <c r="L76" s="48"/>
      <c r="M76" s="20"/>
    </row>
    <row r="77" spans="1:13">
      <c r="A77" s="11"/>
      <c r="C77" s="69"/>
      <c r="D77" s="46" t="s">
        <v>23</v>
      </c>
      <c r="E77" s="47"/>
      <c r="F77" s="47"/>
      <c r="G77" s="47"/>
      <c r="H77" s="47"/>
      <c r="I77" s="47"/>
      <c r="J77" s="47"/>
      <c r="K77" s="47"/>
      <c r="L77" s="48"/>
      <c r="M77" s="20" t="s">
        <v>175</v>
      </c>
    </row>
    <row r="78" spans="1:13">
      <c r="A78" s="11"/>
      <c r="C78" s="69"/>
      <c r="D78" s="46" t="s">
        <v>25</v>
      </c>
      <c r="E78" s="47"/>
      <c r="F78" s="47"/>
      <c r="G78" s="47"/>
      <c r="H78" s="47"/>
      <c r="I78" s="47"/>
      <c r="J78" s="47"/>
      <c r="K78" s="47"/>
      <c r="L78" s="48"/>
      <c r="M78" s="20" t="s">
        <v>176</v>
      </c>
    </row>
    <row r="79" spans="1:13">
      <c r="A79" s="11"/>
      <c r="C79" s="69"/>
      <c r="D79" s="46" t="s">
        <v>24</v>
      </c>
      <c r="E79" s="47"/>
      <c r="F79" s="47"/>
      <c r="G79" s="47"/>
      <c r="H79" s="47"/>
      <c r="I79" s="47"/>
      <c r="J79" s="47"/>
      <c r="K79" s="47"/>
      <c r="L79" s="48"/>
      <c r="M79" s="20">
        <f>SUM(M77:M78)</f>
        <v>0</v>
      </c>
    </row>
    <row r="80" spans="1:13">
      <c r="A80" s="11"/>
      <c r="C80" s="69"/>
      <c r="D80" s="46" t="s">
        <v>26</v>
      </c>
      <c r="E80" s="47"/>
      <c r="F80" s="47"/>
      <c r="G80" s="47"/>
      <c r="H80" s="47"/>
      <c r="I80" s="47"/>
      <c r="J80" s="47"/>
      <c r="K80" s="47"/>
      <c r="L80" s="48"/>
      <c r="M80" s="20">
        <f>11%*M79</f>
        <v>0</v>
      </c>
    </row>
    <row r="81" spans="1:13">
      <c r="A81" s="11"/>
      <c r="C81" s="70"/>
      <c r="D81" s="46" t="s">
        <v>27</v>
      </c>
      <c r="E81" s="47"/>
      <c r="F81" s="47"/>
      <c r="G81" s="47"/>
      <c r="H81" s="47"/>
      <c r="I81" s="47"/>
      <c r="J81" s="47"/>
      <c r="K81" s="47"/>
      <c r="L81" s="48"/>
      <c r="M81" s="21">
        <f>SUM(M79:M80)</f>
        <v>0</v>
      </c>
    </row>
    <row r="82" spans="1:13" ht="15" customHeight="1">
      <c r="A82" s="11"/>
      <c r="C82" s="68">
        <v>3</v>
      </c>
      <c r="D82" s="46" t="s">
        <v>179</v>
      </c>
      <c r="E82" s="47"/>
      <c r="F82" s="47"/>
      <c r="G82" s="47"/>
      <c r="H82" s="47"/>
      <c r="I82" s="47"/>
      <c r="J82" s="47"/>
      <c r="K82" s="47"/>
      <c r="L82" s="48"/>
      <c r="M82" s="19"/>
    </row>
    <row r="83" spans="1:13">
      <c r="A83" s="11"/>
      <c r="C83" s="69"/>
      <c r="D83" s="46" t="s">
        <v>23</v>
      </c>
      <c r="E83" s="47"/>
      <c r="F83" s="47"/>
      <c r="G83" s="47"/>
      <c r="H83" s="47"/>
      <c r="I83" s="47"/>
      <c r="J83" s="47"/>
      <c r="K83" s="47"/>
      <c r="L83" s="48"/>
      <c r="M83" s="20" t="s">
        <v>173</v>
      </c>
    </row>
    <row r="84" spans="1:13">
      <c r="A84" s="11"/>
      <c r="C84" s="69"/>
      <c r="D84" s="46" t="s">
        <v>25</v>
      </c>
      <c r="E84" s="47"/>
      <c r="F84" s="47"/>
      <c r="G84" s="47"/>
      <c r="H84" s="47"/>
      <c r="I84" s="47"/>
      <c r="J84" s="47"/>
      <c r="K84" s="47"/>
      <c r="L84" s="48"/>
      <c r="M84" s="20" t="s">
        <v>174</v>
      </c>
    </row>
    <row r="85" spans="1:13" ht="17.25" customHeight="1">
      <c r="A85" s="11"/>
      <c r="C85" s="69"/>
      <c r="D85" s="46" t="s">
        <v>24</v>
      </c>
      <c r="E85" s="47"/>
      <c r="F85" s="47"/>
      <c r="G85" s="47"/>
      <c r="H85" s="47"/>
      <c r="I85" s="47"/>
      <c r="J85" s="47"/>
      <c r="K85" s="47"/>
      <c r="L85" s="48"/>
      <c r="M85" s="20">
        <f>SUM(M83:M84)</f>
        <v>0</v>
      </c>
    </row>
    <row r="86" spans="1:13">
      <c r="A86" s="11"/>
      <c r="C86" s="69"/>
      <c r="D86" s="46" t="s">
        <v>26</v>
      </c>
      <c r="E86" s="47"/>
      <c r="F86" s="47"/>
      <c r="G86" s="47"/>
      <c r="H86" s="47"/>
      <c r="I86" s="47"/>
      <c r="J86" s="47"/>
      <c r="K86" s="47"/>
      <c r="L86" s="48"/>
      <c r="M86" s="20">
        <f>11%*M85</f>
        <v>0</v>
      </c>
    </row>
    <row r="87" spans="1:13">
      <c r="A87" s="11"/>
      <c r="C87" s="70"/>
      <c r="D87" s="46" t="s">
        <v>27</v>
      </c>
      <c r="E87" s="47"/>
      <c r="F87" s="47"/>
      <c r="G87" s="47"/>
      <c r="H87" s="47"/>
      <c r="I87" s="47"/>
      <c r="J87" s="47"/>
      <c r="K87" s="47"/>
      <c r="L87" s="48"/>
      <c r="M87" s="21">
        <f>SUM(M85:M86)</f>
        <v>0</v>
      </c>
    </row>
    <row r="88" spans="1:13" ht="15" customHeight="1">
      <c r="A88" s="11"/>
      <c r="C88" s="68">
        <v>4</v>
      </c>
      <c r="D88" s="46" t="s">
        <v>180</v>
      </c>
      <c r="E88" s="47"/>
      <c r="F88" s="47"/>
      <c r="G88" s="47"/>
      <c r="H88" s="47"/>
      <c r="I88" s="47"/>
      <c r="J88" s="47"/>
      <c r="K88" s="47"/>
      <c r="L88" s="48"/>
      <c r="M88" s="19"/>
    </row>
    <row r="89" spans="1:13">
      <c r="A89" s="11"/>
      <c r="C89" s="69"/>
      <c r="D89" s="46" t="s">
        <v>23</v>
      </c>
      <c r="E89" s="47"/>
      <c r="F89" s="47"/>
      <c r="G89" s="47"/>
      <c r="H89" s="47"/>
      <c r="I89" s="47"/>
      <c r="J89" s="47"/>
      <c r="K89" s="47"/>
      <c r="L89" s="48"/>
      <c r="M89" s="20" t="s">
        <v>171</v>
      </c>
    </row>
    <row r="90" spans="1:13">
      <c r="A90" s="11"/>
      <c r="C90" s="69"/>
      <c r="D90" s="46" t="s">
        <v>25</v>
      </c>
      <c r="E90" s="47"/>
      <c r="F90" s="47"/>
      <c r="G90" s="47"/>
      <c r="H90" s="47"/>
      <c r="I90" s="47"/>
      <c r="J90" s="47"/>
      <c r="K90" s="47"/>
      <c r="L90" s="48"/>
      <c r="M90" s="20" t="s">
        <v>172</v>
      </c>
    </row>
    <row r="91" spans="1:13" ht="17.25" customHeight="1">
      <c r="A91" s="11"/>
      <c r="C91" s="69"/>
      <c r="D91" s="46" t="s">
        <v>24</v>
      </c>
      <c r="E91" s="47"/>
      <c r="F91" s="47"/>
      <c r="G91" s="47"/>
      <c r="H91" s="47"/>
      <c r="I91" s="47"/>
      <c r="J91" s="47"/>
      <c r="K91" s="47"/>
      <c r="L91" s="48"/>
      <c r="M91" s="20">
        <f>SUM(M89:M90)</f>
        <v>0</v>
      </c>
    </row>
    <row r="92" spans="1:13">
      <c r="A92" s="11"/>
      <c r="C92" s="69"/>
      <c r="D92" s="46" t="s">
        <v>26</v>
      </c>
      <c r="E92" s="47"/>
      <c r="F92" s="47"/>
      <c r="G92" s="47"/>
      <c r="H92" s="47"/>
      <c r="I92" s="47"/>
      <c r="J92" s="47"/>
      <c r="K92" s="47"/>
      <c r="L92" s="48"/>
      <c r="M92" s="20">
        <f>11%*M91</f>
        <v>0</v>
      </c>
    </row>
    <row r="93" spans="1:13" ht="17.25" customHeight="1">
      <c r="A93" s="11"/>
      <c r="C93" s="70"/>
      <c r="D93" s="46" t="s">
        <v>27</v>
      </c>
      <c r="E93" s="47"/>
      <c r="F93" s="47"/>
      <c r="G93" s="47"/>
      <c r="H93" s="47"/>
      <c r="I93" s="47"/>
      <c r="J93" s="47"/>
      <c r="K93" s="47"/>
      <c r="L93" s="48"/>
      <c r="M93" s="21">
        <f>SUM(M91:M92)</f>
        <v>0</v>
      </c>
    </row>
    <row r="94" spans="1:13">
      <c r="A94" s="11"/>
      <c r="C94" s="74" t="s">
        <v>28</v>
      </c>
      <c r="D94" s="74"/>
      <c r="E94" s="74"/>
      <c r="F94" s="74"/>
      <c r="G94" s="74"/>
      <c r="H94" s="74"/>
      <c r="I94" s="74"/>
      <c r="J94" s="74"/>
      <c r="K94" s="74"/>
      <c r="L94" s="74"/>
      <c r="M94" s="74"/>
    </row>
    <row r="95" spans="1:13">
      <c r="A95" s="11"/>
    </row>
    <row r="96" spans="1:13">
      <c r="A96" s="14" t="s">
        <v>59</v>
      </c>
      <c r="B96" s="72" t="s">
        <v>29</v>
      </c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</row>
    <row r="97" spans="1:13" ht="34.5" customHeight="1">
      <c r="A97" s="11"/>
      <c r="B97" s="73" t="s">
        <v>181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</row>
    <row r="98" spans="1:13" ht="14.25" customHeight="1">
      <c r="A98" s="11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>
      <c r="A99" s="14" t="s">
        <v>58</v>
      </c>
      <c r="B99" s="56" t="s">
        <v>30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</row>
    <row r="100" spans="1:13" ht="42" customHeight="1">
      <c r="A100" s="11"/>
      <c r="B100" s="75" t="s">
        <v>210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</row>
    <row r="101" spans="1:13">
      <c r="A101" s="11"/>
    </row>
    <row r="102" spans="1:13">
      <c r="A102" s="11"/>
      <c r="B102" s="13" t="s">
        <v>49</v>
      </c>
      <c r="C102" s="76" t="s">
        <v>13</v>
      </c>
      <c r="D102" s="76"/>
      <c r="E102" s="76"/>
      <c r="F102" s="76"/>
      <c r="G102" s="76"/>
      <c r="H102" s="76"/>
      <c r="I102" s="76"/>
      <c r="J102" s="13" t="s">
        <v>14</v>
      </c>
      <c r="K102" s="13" t="s">
        <v>52</v>
      </c>
      <c r="L102" s="13" t="s">
        <v>50</v>
      </c>
      <c r="M102" s="13" t="s">
        <v>51</v>
      </c>
    </row>
    <row r="103" spans="1:13" ht="15.75">
      <c r="A103" s="11"/>
      <c r="B103" s="8">
        <v>1</v>
      </c>
      <c r="C103" s="43" t="s">
        <v>65</v>
      </c>
      <c r="D103" s="44"/>
      <c r="E103" s="44"/>
      <c r="F103" s="44"/>
      <c r="G103" s="44"/>
      <c r="H103" s="44"/>
      <c r="I103" s="45"/>
      <c r="J103" s="3" t="s">
        <v>66</v>
      </c>
      <c r="K103" s="20" t="s">
        <v>105</v>
      </c>
      <c r="L103" s="20" t="s">
        <v>125</v>
      </c>
      <c r="M103" s="20" t="s">
        <v>145</v>
      </c>
    </row>
    <row r="104" spans="1:13" ht="15.75">
      <c r="A104" s="11"/>
      <c r="B104" s="8">
        <v>2</v>
      </c>
      <c r="C104" s="43" t="s">
        <v>67</v>
      </c>
      <c r="D104" s="44"/>
      <c r="E104" s="44"/>
      <c r="F104" s="44"/>
      <c r="G104" s="44"/>
      <c r="H104" s="44"/>
      <c r="I104" s="45"/>
      <c r="J104" s="3" t="s">
        <v>68</v>
      </c>
      <c r="K104" s="20" t="s">
        <v>106</v>
      </c>
      <c r="L104" s="20" t="s">
        <v>126</v>
      </c>
      <c r="M104" s="20" t="s">
        <v>146</v>
      </c>
    </row>
    <row r="105" spans="1:13" ht="15.75">
      <c r="A105" s="11"/>
      <c r="B105" s="8">
        <v>3</v>
      </c>
      <c r="C105" s="43" t="s">
        <v>87</v>
      </c>
      <c r="D105" s="44"/>
      <c r="E105" s="44"/>
      <c r="F105" s="44"/>
      <c r="G105" s="44"/>
      <c r="H105" s="44"/>
      <c r="I105" s="45"/>
      <c r="J105" s="3" t="s">
        <v>69</v>
      </c>
      <c r="K105" s="20" t="s">
        <v>107</v>
      </c>
      <c r="L105" s="20" t="s">
        <v>127</v>
      </c>
      <c r="M105" s="20" t="s">
        <v>147</v>
      </c>
    </row>
    <row r="106" spans="1:13" ht="15.75">
      <c r="A106" s="11"/>
      <c r="B106" s="8">
        <v>4</v>
      </c>
      <c r="C106" s="43" t="s">
        <v>88</v>
      </c>
      <c r="D106" s="44"/>
      <c r="E106" s="44"/>
      <c r="F106" s="44"/>
      <c r="G106" s="44"/>
      <c r="H106" s="44"/>
      <c r="I106" s="45"/>
      <c r="J106" s="3" t="s">
        <v>70</v>
      </c>
      <c r="K106" s="20" t="s">
        <v>108</v>
      </c>
      <c r="L106" s="20" t="s">
        <v>128</v>
      </c>
      <c r="M106" s="20" t="s">
        <v>148</v>
      </c>
    </row>
    <row r="107" spans="1:13" ht="15.75">
      <c r="A107" s="11"/>
      <c r="B107" s="8">
        <v>5</v>
      </c>
      <c r="C107" s="43" t="s">
        <v>89</v>
      </c>
      <c r="D107" s="44"/>
      <c r="E107" s="44"/>
      <c r="F107" s="44"/>
      <c r="G107" s="44"/>
      <c r="H107" s="44"/>
      <c r="I107" s="45"/>
      <c r="J107" s="3" t="s">
        <v>71</v>
      </c>
      <c r="K107" s="20" t="s">
        <v>109</v>
      </c>
      <c r="L107" s="20" t="s">
        <v>129</v>
      </c>
      <c r="M107" s="20" t="s">
        <v>149</v>
      </c>
    </row>
    <row r="108" spans="1:13" ht="15.75">
      <c r="A108" s="11"/>
      <c r="B108" s="8">
        <v>6</v>
      </c>
      <c r="C108" s="43" t="s">
        <v>90</v>
      </c>
      <c r="D108" s="44"/>
      <c r="E108" s="44"/>
      <c r="F108" s="44"/>
      <c r="G108" s="44"/>
      <c r="H108" s="44"/>
      <c r="I108" s="45"/>
      <c r="J108" s="3" t="s">
        <v>72</v>
      </c>
      <c r="K108" s="20" t="s">
        <v>110</v>
      </c>
      <c r="L108" s="20" t="s">
        <v>130</v>
      </c>
      <c r="M108" s="20" t="s">
        <v>150</v>
      </c>
    </row>
    <row r="109" spans="1:13" ht="15.75">
      <c r="A109" s="11"/>
      <c r="B109" s="8">
        <v>7</v>
      </c>
      <c r="C109" s="43" t="s">
        <v>91</v>
      </c>
      <c r="D109" s="44"/>
      <c r="E109" s="44"/>
      <c r="F109" s="44"/>
      <c r="G109" s="44"/>
      <c r="H109" s="44"/>
      <c r="I109" s="45"/>
      <c r="J109" s="3" t="s">
        <v>73</v>
      </c>
      <c r="K109" s="20" t="s">
        <v>111</v>
      </c>
      <c r="L109" s="20" t="s">
        <v>131</v>
      </c>
      <c r="M109" s="20" t="s">
        <v>151</v>
      </c>
    </row>
    <row r="110" spans="1:13" ht="15.75">
      <c r="A110" s="11"/>
      <c r="B110" s="8">
        <v>8</v>
      </c>
      <c r="C110" s="43" t="s">
        <v>92</v>
      </c>
      <c r="D110" s="44"/>
      <c r="E110" s="44"/>
      <c r="F110" s="44"/>
      <c r="G110" s="44"/>
      <c r="H110" s="44"/>
      <c r="I110" s="45"/>
      <c r="J110" s="3" t="s">
        <v>74</v>
      </c>
      <c r="K110" s="20" t="s">
        <v>112</v>
      </c>
      <c r="L110" s="20" t="s">
        <v>132</v>
      </c>
      <c r="M110" s="20" t="s">
        <v>152</v>
      </c>
    </row>
    <row r="111" spans="1:13" ht="15.75">
      <c r="A111" s="11"/>
      <c r="B111" s="8">
        <v>9</v>
      </c>
      <c r="C111" s="43" t="s">
        <v>93</v>
      </c>
      <c r="D111" s="44"/>
      <c r="E111" s="44"/>
      <c r="F111" s="44"/>
      <c r="G111" s="44"/>
      <c r="H111" s="44"/>
      <c r="I111" s="45"/>
      <c r="J111" s="3" t="s">
        <v>75</v>
      </c>
      <c r="K111" s="20" t="s">
        <v>113</v>
      </c>
      <c r="L111" s="20" t="s">
        <v>133</v>
      </c>
      <c r="M111" s="20" t="s">
        <v>153</v>
      </c>
    </row>
    <row r="112" spans="1:13" ht="15.75">
      <c r="A112" s="11"/>
      <c r="B112" s="8">
        <v>10</v>
      </c>
      <c r="C112" s="43" t="s">
        <v>94</v>
      </c>
      <c r="D112" s="44"/>
      <c r="E112" s="44"/>
      <c r="F112" s="44"/>
      <c r="G112" s="44"/>
      <c r="H112" s="44"/>
      <c r="I112" s="45"/>
      <c r="J112" s="3" t="s">
        <v>76</v>
      </c>
      <c r="K112" s="20" t="s">
        <v>114</v>
      </c>
      <c r="L112" s="20" t="s">
        <v>134</v>
      </c>
      <c r="M112" s="20" t="s">
        <v>154</v>
      </c>
    </row>
    <row r="113" spans="1:13" ht="15.75">
      <c r="A113" s="11"/>
      <c r="B113" s="8">
        <v>11</v>
      </c>
      <c r="C113" s="43" t="s">
        <v>95</v>
      </c>
      <c r="D113" s="44"/>
      <c r="E113" s="44"/>
      <c r="F113" s="44"/>
      <c r="G113" s="44"/>
      <c r="H113" s="44"/>
      <c r="I113" s="45"/>
      <c r="J113" s="3" t="s">
        <v>77</v>
      </c>
      <c r="K113" s="20" t="s">
        <v>115</v>
      </c>
      <c r="L113" s="20" t="s">
        <v>135</v>
      </c>
      <c r="M113" s="20" t="s">
        <v>155</v>
      </c>
    </row>
    <row r="114" spans="1:13" ht="15.75">
      <c r="A114" s="11"/>
      <c r="B114" s="8">
        <v>12</v>
      </c>
      <c r="C114" s="43" t="s">
        <v>96</v>
      </c>
      <c r="D114" s="44"/>
      <c r="E114" s="44"/>
      <c r="F114" s="44"/>
      <c r="G114" s="44"/>
      <c r="H114" s="44"/>
      <c r="I114" s="45"/>
      <c r="J114" s="3" t="s">
        <v>78</v>
      </c>
      <c r="K114" s="20" t="s">
        <v>116</v>
      </c>
      <c r="L114" s="20" t="s">
        <v>136</v>
      </c>
      <c r="M114" s="20" t="s">
        <v>156</v>
      </c>
    </row>
    <row r="115" spans="1:13" ht="15.75">
      <c r="A115" s="11"/>
      <c r="B115" s="8">
        <v>13</v>
      </c>
      <c r="C115" s="43" t="s">
        <v>97</v>
      </c>
      <c r="D115" s="44"/>
      <c r="E115" s="44"/>
      <c r="F115" s="44"/>
      <c r="G115" s="44"/>
      <c r="H115" s="44"/>
      <c r="I115" s="45"/>
      <c r="J115" s="3" t="s">
        <v>79</v>
      </c>
      <c r="K115" s="20" t="s">
        <v>117</v>
      </c>
      <c r="L115" s="20" t="s">
        <v>137</v>
      </c>
      <c r="M115" s="20" t="s">
        <v>157</v>
      </c>
    </row>
    <row r="116" spans="1:13" ht="15.75">
      <c r="A116" s="11"/>
      <c r="B116" s="8">
        <v>14</v>
      </c>
      <c r="C116" s="43" t="s">
        <v>98</v>
      </c>
      <c r="D116" s="44"/>
      <c r="E116" s="44"/>
      <c r="F116" s="44"/>
      <c r="G116" s="44"/>
      <c r="H116" s="44"/>
      <c r="I116" s="45"/>
      <c r="J116" s="3" t="s">
        <v>80</v>
      </c>
      <c r="K116" s="20" t="s">
        <v>118</v>
      </c>
      <c r="L116" s="20" t="s">
        <v>138</v>
      </c>
      <c r="M116" s="20" t="s">
        <v>158</v>
      </c>
    </row>
    <row r="117" spans="1:13" ht="15.75">
      <c r="A117" s="11"/>
      <c r="B117" s="8">
        <v>15</v>
      </c>
      <c r="C117" s="43" t="s">
        <v>99</v>
      </c>
      <c r="D117" s="44"/>
      <c r="E117" s="44"/>
      <c r="F117" s="44"/>
      <c r="G117" s="44"/>
      <c r="H117" s="44"/>
      <c r="I117" s="45"/>
      <c r="J117" s="3" t="s">
        <v>81</v>
      </c>
      <c r="K117" s="20" t="s">
        <v>119</v>
      </c>
      <c r="L117" s="20" t="s">
        <v>139</v>
      </c>
      <c r="M117" s="20" t="s">
        <v>159</v>
      </c>
    </row>
    <row r="118" spans="1:13" ht="15.75">
      <c r="A118" s="11"/>
      <c r="B118" s="8">
        <v>16</v>
      </c>
      <c r="C118" s="43" t="s">
        <v>100</v>
      </c>
      <c r="D118" s="44"/>
      <c r="E118" s="44"/>
      <c r="F118" s="44"/>
      <c r="G118" s="44"/>
      <c r="H118" s="44"/>
      <c r="I118" s="45"/>
      <c r="J118" s="3" t="s">
        <v>82</v>
      </c>
      <c r="K118" s="20" t="s">
        <v>120</v>
      </c>
      <c r="L118" s="20" t="s">
        <v>140</v>
      </c>
      <c r="M118" s="20" t="s">
        <v>160</v>
      </c>
    </row>
    <row r="119" spans="1:13" ht="15.75">
      <c r="A119" s="11"/>
      <c r="B119" s="8">
        <v>17</v>
      </c>
      <c r="C119" s="43" t="s">
        <v>101</v>
      </c>
      <c r="D119" s="44"/>
      <c r="E119" s="44"/>
      <c r="F119" s="44"/>
      <c r="G119" s="44"/>
      <c r="H119" s="44"/>
      <c r="I119" s="45"/>
      <c r="J119" s="3" t="s">
        <v>83</v>
      </c>
      <c r="K119" s="20" t="s">
        <v>121</v>
      </c>
      <c r="L119" s="20" t="s">
        <v>141</v>
      </c>
      <c r="M119" s="20" t="s">
        <v>161</v>
      </c>
    </row>
    <row r="120" spans="1:13" ht="15.75">
      <c r="A120" s="11"/>
      <c r="B120" s="8">
        <v>18</v>
      </c>
      <c r="C120" s="43" t="s">
        <v>102</v>
      </c>
      <c r="D120" s="44"/>
      <c r="E120" s="44"/>
      <c r="F120" s="44"/>
      <c r="G120" s="44"/>
      <c r="H120" s="44"/>
      <c r="I120" s="45"/>
      <c r="J120" s="3" t="s">
        <v>84</v>
      </c>
      <c r="K120" s="20" t="s">
        <v>122</v>
      </c>
      <c r="L120" s="20" t="s">
        <v>142</v>
      </c>
      <c r="M120" s="20" t="s">
        <v>162</v>
      </c>
    </row>
    <row r="121" spans="1:13" ht="15.75">
      <c r="A121" s="11"/>
      <c r="B121" s="8">
        <v>19</v>
      </c>
      <c r="C121" s="43" t="s">
        <v>103</v>
      </c>
      <c r="D121" s="44"/>
      <c r="E121" s="44"/>
      <c r="F121" s="44"/>
      <c r="G121" s="44"/>
      <c r="H121" s="44"/>
      <c r="I121" s="45"/>
      <c r="J121" s="3" t="s">
        <v>85</v>
      </c>
      <c r="K121" s="20" t="s">
        <v>123</v>
      </c>
      <c r="L121" s="20" t="s">
        <v>143</v>
      </c>
      <c r="M121" s="20" t="s">
        <v>163</v>
      </c>
    </row>
    <row r="122" spans="1:13" ht="15.75">
      <c r="A122" s="11"/>
      <c r="B122" s="8">
        <v>20</v>
      </c>
      <c r="C122" s="43" t="s">
        <v>104</v>
      </c>
      <c r="D122" s="44"/>
      <c r="E122" s="44"/>
      <c r="F122" s="44"/>
      <c r="G122" s="44"/>
      <c r="H122" s="44"/>
      <c r="I122" s="45"/>
      <c r="J122" s="3" t="s">
        <v>86</v>
      </c>
      <c r="K122" s="20" t="s">
        <v>124</v>
      </c>
      <c r="L122" s="20" t="s">
        <v>144</v>
      </c>
      <c r="M122" s="20" t="s">
        <v>164</v>
      </c>
    </row>
    <row r="123" spans="1:13" ht="15.75">
      <c r="A123" s="11"/>
      <c r="B123" s="8">
        <v>21</v>
      </c>
      <c r="C123" s="43" t="s">
        <v>223</v>
      </c>
      <c r="D123" s="44"/>
      <c r="E123" s="44"/>
      <c r="F123" s="44"/>
      <c r="G123" s="44"/>
      <c r="H123" s="44"/>
      <c r="I123" s="45"/>
      <c r="J123" s="3" t="s">
        <v>243</v>
      </c>
      <c r="K123" s="20" t="s">
        <v>283</v>
      </c>
      <c r="L123" s="20" t="s">
        <v>303</v>
      </c>
      <c r="M123" s="20" t="s">
        <v>323</v>
      </c>
    </row>
    <row r="124" spans="1:13" ht="15.75">
      <c r="A124" s="11"/>
      <c r="B124" s="8">
        <v>22</v>
      </c>
      <c r="C124" s="43" t="s">
        <v>224</v>
      </c>
      <c r="D124" s="44"/>
      <c r="E124" s="44"/>
      <c r="F124" s="44"/>
      <c r="G124" s="44"/>
      <c r="H124" s="44"/>
      <c r="I124" s="45"/>
      <c r="J124" s="3" t="s">
        <v>244</v>
      </c>
      <c r="K124" s="20" t="s">
        <v>284</v>
      </c>
      <c r="L124" s="20" t="s">
        <v>304</v>
      </c>
      <c r="M124" s="20" t="s">
        <v>324</v>
      </c>
    </row>
    <row r="125" spans="1:13" ht="15.75">
      <c r="A125" s="11"/>
      <c r="B125" s="8">
        <v>23</v>
      </c>
      <c r="C125" s="43" t="s">
        <v>225</v>
      </c>
      <c r="D125" s="44"/>
      <c r="E125" s="44"/>
      <c r="F125" s="44"/>
      <c r="G125" s="44"/>
      <c r="H125" s="44"/>
      <c r="I125" s="45"/>
      <c r="J125" s="3" t="s">
        <v>245</v>
      </c>
      <c r="K125" s="20" t="s">
        <v>285</v>
      </c>
      <c r="L125" s="20" t="s">
        <v>305</v>
      </c>
      <c r="M125" s="20" t="s">
        <v>325</v>
      </c>
    </row>
    <row r="126" spans="1:13" ht="15.75">
      <c r="A126" s="11"/>
      <c r="B126" s="8">
        <v>24</v>
      </c>
      <c r="C126" s="43" t="s">
        <v>226</v>
      </c>
      <c r="D126" s="44"/>
      <c r="E126" s="44"/>
      <c r="F126" s="44"/>
      <c r="G126" s="44"/>
      <c r="H126" s="44"/>
      <c r="I126" s="45"/>
      <c r="J126" s="3" t="s">
        <v>246</v>
      </c>
      <c r="K126" s="20" t="s">
        <v>286</v>
      </c>
      <c r="L126" s="20" t="s">
        <v>306</v>
      </c>
      <c r="M126" s="20" t="s">
        <v>326</v>
      </c>
    </row>
    <row r="127" spans="1:13" ht="15.75">
      <c r="A127" s="11"/>
      <c r="B127" s="8">
        <v>25</v>
      </c>
      <c r="C127" s="43" t="s">
        <v>227</v>
      </c>
      <c r="D127" s="44"/>
      <c r="E127" s="44"/>
      <c r="F127" s="44"/>
      <c r="G127" s="44"/>
      <c r="H127" s="44"/>
      <c r="I127" s="45"/>
      <c r="J127" s="3" t="s">
        <v>247</v>
      </c>
      <c r="K127" s="20" t="s">
        <v>287</v>
      </c>
      <c r="L127" s="20" t="s">
        <v>307</v>
      </c>
      <c r="M127" s="20" t="s">
        <v>327</v>
      </c>
    </row>
    <row r="128" spans="1:13" ht="15.75">
      <c r="A128" s="11"/>
      <c r="B128" s="8">
        <v>26</v>
      </c>
      <c r="C128" s="43" t="s">
        <v>228</v>
      </c>
      <c r="D128" s="44"/>
      <c r="E128" s="44"/>
      <c r="F128" s="44"/>
      <c r="G128" s="44"/>
      <c r="H128" s="44"/>
      <c r="I128" s="45"/>
      <c r="J128" s="3" t="s">
        <v>248</v>
      </c>
      <c r="K128" s="20" t="s">
        <v>288</v>
      </c>
      <c r="L128" s="20" t="s">
        <v>308</v>
      </c>
      <c r="M128" s="20" t="s">
        <v>328</v>
      </c>
    </row>
    <row r="129" spans="1:13" ht="15.75">
      <c r="A129" s="11"/>
      <c r="B129" s="8">
        <v>27</v>
      </c>
      <c r="C129" s="43" t="s">
        <v>229</v>
      </c>
      <c r="D129" s="44"/>
      <c r="E129" s="44"/>
      <c r="F129" s="44"/>
      <c r="G129" s="44"/>
      <c r="H129" s="44"/>
      <c r="I129" s="45"/>
      <c r="J129" s="3" t="s">
        <v>249</v>
      </c>
      <c r="K129" s="20" t="s">
        <v>289</v>
      </c>
      <c r="L129" s="20" t="s">
        <v>309</v>
      </c>
      <c r="M129" s="20" t="s">
        <v>329</v>
      </c>
    </row>
    <row r="130" spans="1:13" ht="15.75">
      <c r="A130" s="11"/>
      <c r="B130" s="8">
        <v>28</v>
      </c>
      <c r="C130" s="43" t="s">
        <v>230</v>
      </c>
      <c r="D130" s="44"/>
      <c r="E130" s="44"/>
      <c r="F130" s="44"/>
      <c r="G130" s="44"/>
      <c r="H130" s="44"/>
      <c r="I130" s="45"/>
      <c r="J130" s="3" t="s">
        <v>250</v>
      </c>
      <c r="K130" s="20" t="s">
        <v>290</v>
      </c>
      <c r="L130" s="20" t="s">
        <v>310</v>
      </c>
      <c r="M130" s="20" t="s">
        <v>330</v>
      </c>
    </row>
    <row r="131" spans="1:13" ht="15.75">
      <c r="A131" s="11"/>
      <c r="B131" s="8">
        <v>29</v>
      </c>
      <c r="C131" s="43" t="s">
        <v>231</v>
      </c>
      <c r="D131" s="44"/>
      <c r="E131" s="44"/>
      <c r="F131" s="44"/>
      <c r="G131" s="44"/>
      <c r="H131" s="44"/>
      <c r="I131" s="45"/>
      <c r="J131" s="3" t="s">
        <v>251</v>
      </c>
      <c r="K131" s="20" t="s">
        <v>291</v>
      </c>
      <c r="L131" s="20" t="s">
        <v>311</v>
      </c>
      <c r="M131" s="20" t="s">
        <v>331</v>
      </c>
    </row>
    <row r="132" spans="1:13" ht="15.75">
      <c r="A132" s="11"/>
      <c r="B132" s="8">
        <v>30</v>
      </c>
      <c r="C132" s="43" t="s">
        <v>232</v>
      </c>
      <c r="D132" s="44"/>
      <c r="E132" s="44"/>
      <c r="F132" s="44"/>
      <c r="G132" s="44"/>
      <c r="H132" s="44"/>
      <c r="I132" s="45"/>
      <c r="J132" s="3" t="s">
        <v>252</v>
      </c>
      <c r="K132" s="20" t="s">
        <v>292</v>
      </c>
      <c r="L132" s="20" t="s">
        <v>312</v>
      </c>
      <c r="M132" s="20" t="s">
        <v>332</v>
      </c>
    </row>
    <row r="133" spans="1:13" ht="15.75">
      <c r="A133" s="11"/>
      <c r="B133" s="8">
        <v>31</v>
      </c>
      <c r="C133" s="43" t="s">
        <v>233</v>
      </c>
      <c r="D133" s="44"/>
      <c r="E133" s="44"/>
      <c r="F133" s="44"/>
      <c r="G133" s="44"/>
      <c r="H133" s="44"/>
      <c r="I133" s="45"/>
      <c r="J133" s="3" t="s">
        <v>253</v>
      </c>
      <c r="K133" s="20" t="s">
        <v>293</v>
      </c>
      <c r="L133" s="20" t="s">
        <v>313</v>
      </c>
      <c r="M133" s="20" t="s">
        <v>333</v>
      </c>
    </row>
    <row r="134" spans="1:13" ht="15.75">
      <c r="A134" s="11"/>
      <c r="B134" s="8">
        <v>32</v>
      </c>
      <c r="C134" s="43" t="s">
        <v>234</v>
      </c>
      <c r="D134" s="44"/>
      <c r="E134" s="44"/>
      <c r="F134" s="44"/>
      <c r="G134" s="44"/>
      <c r="H134" s="44"/>
      <c r="I134" s="45"/>
      <c r="J134" s="3" t="s">
        <v>254</v>
      </c>
      <c r="K134" s="20" t="s">
        <v>294</v>
      </c>
      <c r="L134" s="20" t="s">
        <v>314</v>
      </c>
      <c r="M134" s="20" t="s">
        <v>334</v>
      </c>
    </row>
    <row r="135" spans="1:13" ht="15.75">
      <c r="A135" s="11"/>
      <c r="B135" s="8">
        <v>33</v>
      </c>
      <c r="C135" s="43" t="s">
        <v>235</v>
      </c>
      <c r="D135" s="44"/>
      <c r="E135" s="44"/>
      <c r="F135" s="44"/>
      <c r="G135" s="44"/>
      <c r="H135" s="44"/>
      <c r="I135" s="45"/>
      <c r="J135" s="3" t="s">
        <v>255</v>
      </c>
      <c r="K135" s="20" t="s">
        <v>295</v>
      </c>
      <c r="L135" s="20" t="s">
        <v>315</v>
      </c>
      <c r="M135" s="20" t="s">
        <v>335</v>
      </c>
    </row>
    <row r="136" spans="1:13" ht="15.75">
      <c r="A136" s="11"/>
      <c r="B136" s="8">
        <v>34</v>
      </c>
      <c r="C136" s="43" t="s">
        <v>236</v>
      </c>
      <c r="D136" s="44"/>
      <c r="E136" s="44"/>
      <c r="F136" s="44"/>
      <c r="G136" s="44"/>
      <c r="H136" s="44"/>
      <c r="I136" s="45"/>
      <c r="J136" s="3" t="s">
        <v>256</v>
      </c>
      <c r="K136" s="20" t="s">
        <v>296</v>
      </c>
      <c r="L136" s="20" t="s">
        <v>316</v>
      </c>
      <c r="M136" s="20" t="s">
        <v>336</v>
      </c>
    </row>
    <row r="137" spans="1:13" ht="15.75">
      <c r="A137" s="11"/>
      <c r="B137" s="8">
        <v>35</v>
      </c>
      <c r="C137" s="43" t="s">
        <v>237</v>
      </c>
      <c r="D137" s="44"/>
      <c r="E137" s="44"/>
      <c r="F137" s="44"/>
      <c r="G137" s="44"/>
      <c r="H137" s="44"/>
      <c r="I137" s="45"/>
      <c r="J137" s="3" t="s">
        <v>257</v>
      </c>
      <c r="K137" s="20" t="s">
        <v>297</v>
      </c>
      <c r="L137" s="20" t="s">
        <v>317</v>
      </c>
      <c r="M137" s="20" t="s">
        <v>337</v>
      </c>
    </row>
    <row r="138" spans="1:13" ht="15.75">
      <c r="A138" s="11"/>
      <c r="B138" s="8">
        <v>36</v>
      </c>
      <c r="C138" s="43" t="s">
        <v>238</v>
      </c>
      <c r="D138" s="44"/>
      <c r="E138" s="44"/>
      <c r="F138" s="44"/>
      <c r="G138" s="44"/>
      <c r="H138" s="44"/>
      <c r="I138" s="45"/>
      <c r="J138" s="3" t="s">
        <v>258</v>
      </c>
      <c r="K138" s="20" t="s">
        <v>298</v>
      </c>
      <c r="L138" s="20" t="s">
        <v>318</v>
      </c>
      <c r="M138" s="20" t="s">
        <v>338</v>
      </c>
    </row>
    <row r="139" spans="1:13" ht="15.75">
      <c r="A139" s="11"/>
      <c r="B139" s="8">
        <v>37</v>
      </c>
      <c r="C139" s="43" t="s">
        <v>239</v>
      </c>
      <c r="D139" s="44"/>
      <c r="E139" s="44"/>
      <c r="F139" s="44"/>
      <c r="G139" s="44"/>
      <c r="H139" s="44"/>
      <c r="I139" s="45"/>
      <c r="J139" s="3" t="s">
        <v>259</v>
      </c>
      <c r="K139" s="20" t="s">
        <v>299</v>
      </c>
      <c r="L139" s="20" t="s">
        <v>319</v>
      </c>
      <c r="M139" s="20" t="s">
        <v>339</v>
      </c>
    </row>
    <row r="140" spans="1:13" ht="15.75">
      <c r="A140" s="11"/>
      <c r="B140" s="8">
        <v>38</v>
      </c>
      <c r="C140" s="43" t="s">
        <v>240</v>
      </c>
      <c r="D140" s="44"/>
      <c r="E140" s="44"/>
      <c r="F140" s="44"/>
      <c r="G140" s="44"/>
      <c r="H140" s="44"/>
      <c r="I140" s="45"/>
      <c r="J140" s="3" t="s">
        <v>260</v>
      </c>
      <c r="K140" s="20" t="s">
        <v>300</v>
      </c>
      <c r="L140" s="20" t="s">
        <v>320</v>
      </c>
      <c r="M140" s="20" t="s">
        <v>340</v>
      </c>
    </row>
    <row r="141" spans="1:13" ht="15.75">
      <c r="A141" s="11"/>
      <c r="B141" s="8">
        <v>39</v>
      </c>
      <c r="C141" s="43" t="s">
        <v>241</v>
      </c>
      <c r="D141" s="44"/>
      <c r="E141" s="44"/>
      <c r="F141" s="44"/>
      <c r="G141" s="44"/>
      <c r="H141" s="44"/>
      <c r="I141" s="45"/>
      <c r="J141" s="3" t="s">
        <v>261</v>
      </c>
      <c r="K141" s="20" t="s">
        <v>301</v>
      </c>
      <c r="L141" s="20" t="s">
        <v>321</v>
      </c>
      <c r="M141" s="20" t="s">
        <v>341</v>
      </c>
    </row>
    <row r="142" spans="1:13" ht="15.75">
      <c r="A142" s="11"/>
      <c r="B142" s="8">
        <v>40</v>
      </c>
      <c r="C142" s="43" t="s">
        <v>242</v>
      </c>
      <c r="D142" s="44"/>
      <c r="E142" s="44"/>
      <c r="F142" s="44"/>
      <c r="G142" s="44"/>
      <c r="H142" s="44"/>
      <c r="I142" s="45"/>
      <c r="J142" s="3" t="s">
        <v>262</v>
      </c>
      <c r="K142" s="20" t="s">
        <v>302</v>
      </c>
      <c r="L142" s="20" t="s">
        <v>322</v>
      </c>
      <c r="M142" s="20" t="s">
        <v>342</v>
      </c>
    </row>
    <row r="143" spans="1:13">
      <c r="A143" s="11"/>
      <c r="B143" s="77" t="s">
        <v>31</v>
      </c>
      <c r="C143" s="78"/>
      <c r="D143" s="78"/>
      <c r="E143" s="78"/>
      <c r="F143" s="78"/>
      <c r="G143" s="78"/>
      <c r="H143" s="78"/>
      <c r="I143" s="79"/>
      <c r="J143" s="2"/>
      <c r="K143" s="22">
        <f>SUM(K103:K142)</f>
        <v>0</v>
      </c>
      <c r="L143" s="22">
        <f>SUM(L103:L142)</f>
        <v>0</v>
      </c>
      <c r="M143" s="22">
        <f>SUM(M103:M142)</f>
        <v>0</v>
      </c>
    </row>
    <row r="144" spans="1:13">
      <c r="A144" s="11"/>
      <c r="B144" s="77" t="s">
        <v>208</v>
      </c>
      <c r="C144" s="78"/>
      <c r="D144" s="78"/>
      <c r="E144" s="78"/>
      <c r="F144" s="78"/>
      <c r="G144" s="78"/>
      <c r="H144" s="78"/>
      <c r="I144" s="79"/>
      <c r="J144" s="2"/>
      <c r="K144" s="22"/>
      <c r="L144" s="22"/>
      <c r="M144" s="22">
        <f>11%*M143</f>
        <v>0</v>
      </c>
    </row>
    <row r="145" spans="1:13">
      <c r="A145" s="11"/>
      <c r="B145" s="77" t="s">
        <v>209</v>
      </c>
      <c r="C145" s="78"/>
      <c r="D145" s="78"/>
      <c r="E145" s="78"/>
      <c r="F145" s="78"/>
      <c r="G145" s="78"/>
      <c r="H145" s="78"/>
      <c r="I145" s="79"/>
      <c r="J145" s="2"/>
      <c r="K145" s="22"/>
      <c r="L145" s="22"/>
      <c r="M145" s="25">
        <f>SUM(M143:M144)</f>
        <v>0</v>
      </c>
    </row>
    <row r="146" spans="1:13">
      <c r="A146" s="11"/>
    </row>
    <row r="147" spans="1:13">
      <c r="A147" s="11" t="s">
        <v>57</v>
      </c>
      <c r="B147" s="72" t="s">
        <v>32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</row>
    <row r="148" spans="1:13">
      <c r="A148" s="11"/>
      <c r="B148" s="72" t="s">
        <v>42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</row>
    <row r="149" spans="1:13">
      <c r="A149" s="1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>
      <c r="A150" s="14" t="s">
        <v>56</v>
      </c>
      <c r="B150" s="72" t="s">
        <v>33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</row>
    <row r="151" spans="1:13">
      <c r="A151" s="11"/>
      <c r="B151" s="85" t="s">
        <v>34</v>
      </c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</row>
    <row r="152" spans="1:13">
      <c r="A152" s="11"/>
      <c r="B152" s="12" t="s">
        <v>49</v>
      </c>
      <c r="C152" s="88" t="s">
        <v>35</v>
      </c>
      <c r="D152" s="89"/>
      <c r="E152" s="89"/>
      <c r="F152" s="89"/>
      <c r="G152" s="89"/>
      <c r="H152" s="89"/>
      <c r="I152" s="89"/>
      <c r="J152" s="89"/>
      <c r="K152" s="17" t="s">
        <v>36</v>
      </c>
      <c r="L152" s="13" t="s">
        <v>165</v>
      </c>
      <c r="M152" s="18" t="s">
        <v>166</v>
      </c>
    </row>
    <row r="153" spans="1:13" ht="15" customHeight="1">
      <c r="A153" s="11"/>
      <c r="B153" s="8">
        <v>1</v>
      </c>
      <c r="C153" s="80" t="str">
        <f t="shared" ref="C153:C162" si="0">C103</f>
        <v>${nama_lokasi_1}</v>
      </c>
      <c r="D153" s="81"/>
      <c r="E153" s="81"/>
      <c r="F153" s="81"/>
      <c r="G153" s="81"/>
      <c r="H153" s="81"/>
      <c r="I153" s="81"/>
      <c r="J153" s="82"/>
      <c r="K153" s="4" t="s">
        <v>53</v>
      </c>
      <c r="L153" s="4" t="s">
        <v>167</v>
      </c>
      <c r="M153" s="24" t="s">
        <v>177</v>
      </c>
    </row>
    <row r="154" spans="1:13" ht="15" customHeight="1">
      <c r="A154" s="11"/>
      <c r="B154" s="8">
        <v>2</v>
      </c>
      <c r="C154" s="80" t="str">
        <f t="shared" si="0"/>
        <v>${nama_lokasi_2}</v>
      </c>
      <c r="D154" s="81"/>
      <c r="E154" s="81"/>
      <c r="F154" s="81"/>
      <c r="G154" s="81"/>
      <c r="H154" s="81"/>
      <c r="I154" s="81"/>
      <c r="J154" s="82"/>
      <c r="K154" s="4" t="s">
        <v>53</v>
      </c>
      <c r="L154" s="4" t="s">
        <v>167</v>
      </c>
      <c r="M154" s="24"/>
    </row>
    <row r="155" spans="1:13" ht="15" customHeight="1">
      <c r="A155" s="11"/>
      <c r="B155" s="8">
        <v>3</v>
      </c>
      <c r="C155" s="80" t="str">
        <f t="shared" si="0"/>
        <v>${nama_lokasi_3}</v>
      </c>
      <c r="D155" s="81"/>
      <c r="E155" s="81"/>
      <c r="F155" s="81"/>
      <c r="G155" s="81"/>
      <c r="H155" s="81"/>
      <c r="I155" s="81"/>
      <c r="J155" s="82"/>
      <c r="K155" s="4" t="s">
        <v>53</v>
      </c>
      <c r="L155" s="4" t="s">
        <v>167</v>
      </c>
      <c r="M155" s="24"/>
    </row>
    <row r="156" spans="1:13" ht="15" customHeight="1">
      <c r="A156" s="11"/>
      <c r="B156" s="8">
        <v>4</v>
      </c>
      <c r="C156" s="80" t="str">
        <f t="shared" si="0"/>
        <v>${nama_lokasi_4}</v>
      </c>
      <c r="D156" s="81"/>
      <c r="E156" s="81"/>
      <c r="F156" s="81"/>
      <c r="G156" s="81"/>
      <c r="H156" s="81"/>
      <c r="I156" s="81"/>
      <c r="J156" s="82"/>
      <c r="K156" s="4" t="s">
        <v>53</v>
      </c>
      <c r="L156" s="4" t="s">
        <v>167</v>
      </c>
      <c r="M156" s="24"/>
    </row>
    <row r="157" spans="1:13" ht="15" customHeight="1">
      <c r="A157" s="11"/>
      <c r="B157" s="8">
        <v>5</v>
      </c>
      <c r="C157" s="80" t="str">
        <f t="shared" si="0"/>
        <v>${nama_lokasi_5}</v>
      </c>
      <c r="D157" s="81"/>
      <c r="E157" s="81"/>
      <c r="F157" s="81"/>
      <c r="G157" s="81"/>
      <c r="H157" s="81"/>
      <c r="I157" s="81"/>
      <c r="J157" s="82"/>
      <c r="K157" s="4" t="s">
        <v>53</v>
      </c>
      <c r="L157" s="4" t="s">
        <v>167</v>
      </c>
      <c r="M157" s="24"/>
    </row>
    <row r="158" spans="1:13" ht="15" customHeight="1">
      <c r="A158" s="11"/>
      <c r="B158" s="8">
        <v>6</v>
      </c>
      <c r="C158" s="80" t="str">
        <f t="shared" si="0"/>
        <v>${nama_lokasi_6}</v>
      </c>
      <c r="D158" s="81"/>
      <c r="E158" s="81"/>
      <c r="F158" s="81"/>
      <c r="G158" s="81"/>
      <c r="H158" s="81"/>
      <c r="I158" s="81"/>
      <c r="J158" s="82"/>
      <c r="K158" s="4" t="s">
        <v>53</v>
      </c>
      <c r="L158" s="4" t="s">
        <v>167</v>
      </c>
      <c r="M158" s="24"/>
    </row>
    <row r="159" spans="1:13" ht="15" customHeight="1">
      <c r="A159" s="11"/>
      <c r="B159" s="8">
        <v>7</v>
      </c>
      <c r="C159" s="80" t="str">
        <f t="shared" si="0"/>
        <v>${nama_lokasi_7}</v>
      </c>
      <c r="D159" s="81"/>
      <c r="E159" s="81"/>
      <c r="F159" s="81"/>
      <c r="G159" s="81"/>
      <c r="H159" s="81"/>
      <c r="I159" s="81"/>
      <c r="J159" s="82"/>
      <c r="K159" s="4" t="s">
        <v>53</v>
      </c>
      <c r="L159" s="4" t="s">
        <v>167</v>
      </c>
      <c r="M159" s="24"/>
    </row>
    <row r="160" spans="1:13">
      <c r="A160" s="11"/>
      <c r="B160" s="8">
        <v>8</v>
      </c>
      <c r="C160" s="80" t="str">
        <f t="shared" si="0"/>
        <v>${nama_lokasi_8}</v>
      </c>
      <c r="D160" s="81"/>
      <c r="E160" s="81"/>
      <c r="F160" s="81"/>
      <c r="G160" s="81"/>
      <c r="H160" s="81"/>
      <c r="I160" s="81"/>
      <c r="J160" s="82"/>
      <c r="K160" s="4" t="s">
        <v>53</v>
      </c>
      <c r="L160" s="4" t="s">
        <v>167</v>
      </c>
      <c r="M160" s="24"/>
    </row>
    <row r="161" spans="1:13">
      <c r="A161" s="11"/>
      <c r="B161" s="8">
        <v>9</v>
      </c>
      <c r="C161" s="80" t="str">
        <f t="shared" si="0"/>
        <v>${nama_lokasi_9}</v>
      </c>
      <c r="D161" s="81"/>
      <c r="E161" s="81"/>
      <c r="F161" s="81"/>
      <c r="G161" s="81"/>
      <c r="H161" s="81"/>
      <c r="I161" s="81"/>
      <c r="J161" s="82"/>
      <c r="K161" s="4" t="s">
        <v>53</v>
      </c>
      <c r="L161" s="4" t="s">
        <v>167</v>
      </c>
      <c r="M161" s="24"/>
    </row>
    <row r="162" spans="1:13">
      <c r="A162" s="11"/>
      <c r="B162" s="8">
        <v>10</v>
      </c>
      <c r="C162" s="80" t="str">
        <f t="shared" si="0"/>
        <v>${nama_lokasi_10}</v>
      </c>
      <c r="D162" s="81"/>
      <c r="E162" s="81"/>
      <c r="F162" s="81"/>
      <c r="G162" s="81"/>
      <c r="H162" s="81"/>
      <c r="I162" s="81"/>
      <c r="J162" s="82"/>
      <c r="K162" s="4" t="s">
        <v>53</v>
      </c>
      <c r="L162" s="4" t="s">
        <v>167</v>
      </c>
      <c r="M162" s="24"/>
    </row>
    <row r="163" spans="1:13">
      <c r="A163" s="11"/>
      <c r="B163" s="8">
        <v>11</v>
      </c>
      <c r="C163" s="80" t="str">
        <f t="shared" ref="C163:C172" si="1">C113</f>
        <v>${nama_lokasi_11}</v>
      </c>
      <c r="D163" s="81"/>
      <c r="E163" s="81"/>
      <c r="F163" s="81"/>
      <c r="G163" s="81"/>
      <c r="H163" s="81"/>
      <c r="I163" s="81"/>
      <c r="J163" s="82"/>
      <c r="K163" s="4" t="s">
        <v>53</v>
      </c>
      <c r="L163" s="4" t="s">
        <v>167</v>
      </c>
      <c r="M163" s="24"/>
    </row>
    <row r="164" spans="1:13">
      <c r="A164" s="11"/>
      <c r="B164" s="8">
        <v>12</v>
      </c>
      <c r="C164" s="80" t="str">
        <f t="shared" si="1"/>
        <v>${nama_lokasi_12}</v>
      </c>
      <c r="D164" s="81"/>
      <c r="E164" s="81"/>
      <c r="F164" s="81"/>
      <c r="G164" s="81"/>
      <c r="H164" s="81"/>
      <c r="I164" s="81"/>
      <c r="J164" s="82"/>
      <c r="K164" s="4" t="s">
        <v>53</v>
      </c>
      <c r="L164" s="4" t="s">
        <v>167</v>
      </c>
      <c r="M164" s="24"/>
    </row>
    <row r="165" spans="1:13">
      <c r="A165" s="11"/>
      <c r="B165" s="8">
        <v>13</v>
      </c>
      <c r="C165" s="80" t="str">
        <f t="shared" si="1"/>
        <v>${nama_lokasi_13}</v>
      </c>
      <c r="D165" s="81"/>
      <c r="E165" s="81"/>
      <c r="F165" s="81"/>
      <c r="G165" s="81"/>
      <c r="H165" s="81"/>
      <c r="I165" s="81"/>
      <c r="J165" s="82"/>
      <c r="K165" s="4" t="s">
        <v>53</v>
      </c>
      <c r="L165" s="4" t="s">
        <v>167</v>
      </c>
      <c r="M165" s="24"/>
    </row>
    <row r="166" spans="1:13">
      <c r="A166" s="11"/>
      <c r="B166" s="8">
        <v>14</v>
      </c>
      <c r="C166" s="80" t="str">
        <f t="shared" si="1"/>
        <v>${nama_lokasi_14}</v>
      </c>
      <c r="D166" s="81"/>
      <c r="E166" s="81"/>
      <c r="F166" s="81"/>
      <c r="G166" s="81"/>
      <c r="H166" s="81"/>
      <c r="I166" s="81"/>
      <c r="J166" s="82"/>
      <c r="K166" s="4" t="s">
        <v>53</v>
      </c>
      <c r="L166" s="4" t="s">
        <v>167</v>
      </c>
      <c r="M166" s="24"/>
    </row>
    <row r="167" spans="1:13">
      <c r="A167" s="11"/>
      <c r="B167" s="8">
        <v>15</v>
      </c>
      <c r="C167" s="80" t="str">
        <f t="shared" si="1"/>
        <v>${nama_lokasi_15}</v>
      </c>
      <c r="D167" s="81"/>
      <c r="E167" s="81"/>
      <c r="F167" s="81"/>
      <c r="G167" s="81"/>
      <c r="H167" s="81"/>
      <c r="I167" s="81"/>
      <c r="J167" s="82"/>
      <c r="K167" s="4" t="s">
        <v>53</v>
      </c>
      <c r="L167" s="4" t="s">
        <v>167</v>
      </c>
      <c r="M167" s="24"/>
    </row>
    <row r="168" spans="1:13">
      <c r="A168" s="11"/>
      <c r="B168" s="8">
        <v>16</v>
      </c>
      <c r="C168" s="80" t="str">
        <f t="shared" si="1"/>
        <v>${nama_lokasi_16}</v>
      </c>
      <c r="D168" s="81"/>
      <c r="E168" s="81"/>
      <c r="F168" s="81"/>
      <c r="G168" s="81"/>
      <c r="H168" s="81"/>
      <c r="I168" s="81"/>
      <c r="J168" s="82"/>
      <c r="K168" s="4" t="s">
        <v>53</v>
      </c>
      <c r="L168" s="4" t="s">
        <v>167</v>
      </c>
      <c r="M168" s="24"/>
    </row>
    <row r="169" spans="1:13">
      <c r="A169" s="11"/>
      <c r="B169" s="8">
        <v>17</v>
      </c>
      <c r="C169" s="80" t="str">
        <f t="shared" si="1"/>
        <v>${nama_lokasi_17}</v>
      </c>
      <c r="D169" s="81"/>
      <c r="E169" s="81"/>
      <c r="F169" s="81"/>
      <c r="G169" s="81"/>
      <c r="H169" s="81"/>
      <c r="I169" s="81"/>
      <c r="J169" s="82"/>
      <c r="K169" s="4" t="s">
        <v>53</v>
      </c>
      <c r="L169" s="4" t="s">
        <v>167</v>
      </c>
      <c r="M169" s="24"/>
    </row>
    <row r="170" spans="1:13">
      <c r="A170" s="11"/>
      <c r="B170" s="8">
        <v>18</v>
      </c>
      <c r="C170" s="80" t="str">
        <f t="shared" si="1"/>
        <v>${nama_lokasi_18}</v>
      </c>
      <c r="D170" s="81"/>
      <c r="E170" s="81"/>
      <c r="F170" s="81"/>
      <c r="G170" s="81"/>
      <c r="H170" s="81"/>
      <c r="I170" s="81"/>
      <c r="J170" s="82"/>
      <c r="K170" s="4" t="s">
        <v>53</v>
      </c>
      <c r="L170" s="4" t="s">
        <v>167</v>
      </c>
      <c r="M170" s="24"/>
    </row>
    <row r="171" spans="1:13">
      <c r="A171" s="11"/>
      <c r="B171" s="8">
        <v>19</v>
      </c>
      <c r="C171" s="80" t="str">
        <f t="shared" si="1"/>
        <v>${nama_lokasi_19}</v>
      </c>
      <c r="D171" s="81"/>
      <c r="E171" s="81"/>
      <c r="F171" s="81"/>
      <c r="G171" s="81"/>
      <c r="H171" s="81"/>
      <c r="I171" s="81"/>
      <c r="J171" s="82"/>
      <c r="K171" s="4" t="s">
        <v>53</v>
      </c>
      <c r="L171" s="4" t="s">
        <v>167</v>
      </c>
      <c r="M171" s="24"/>
    </row>
    <row r="172" spans="1:13">
      <c r="A172" s="11"/>
      <c r="B172" s="8">
        <v>20</v>
      </c>
      <c r="C172" s="80" t="str">
        <f t="shared" si="1"/>
        <v>${nama_lokasi_20}</v>
      </c>
      <c r="D172" s="81"/>
      <c r="E172" s="81"/>
      <c r="F172" s="81"/>
      <c r="G172" s="81"/>
      <c r="H172" s="81"/>
      <c r="I172" s="81"/>
      <c r="J172" s="82"/>
      <c r="K172" s="4" t="s">
        <v>53</v>
      </c>
      <c r="L172" s="4" t="s">
        <v>167</v>
      </c>
      <c r="M172" s="24"/>
    </row>
    <row r="173" spans="1:13">
      <c r="A173" s="11"/>
      <c r="B173" s="8">
        <v>21</v>
      </c>
      <c r="C173" s="80" t="str">
        <f t="shared" ref="C173:C182" si="2">C123</f>
        <v>${nama_lokasi_21}</v>
      </c>
      <c r="D173" s="81"/>
      <c r="E173" s="81"/>
      <c r="F173" s="81"/>
      <c r="G173" s="81"/>
      <c r="H173" s="81"/>
      <c r="I173" s="81"/>
      <c r="J173" s="82"/>
      <c r="K173" s="4" t="s">
        <v>53</v>
      </c>
      <c r="L173" s="4" t="s">
        <v>167</v>
      </c>
      <c r="M173" s="24"/>
    </row>
    <row r="174" spans="1:13">
      <c r="A174" s="11"/>
      <c r="B174" s="8">
        <v>22</v>
      </c>
      <c r="C174" s="80" t="str">
        <f t="shared" si="2"/>
        <v>${nama_lokasi_22}</v>
      </c>
      <c r="D174" s="81"/>
      <c r="E174" s="81"/>
      <c r="F174" s="81"/>
      <c r="G174" s="81"/>
      <c r="H174" s="81"/>
      <c r="I174" s="81"/>
      <c r="J174" s="82"/>
      <c r="K174" s="4" t="s">
        <v>53</v>
      </c>
      <c r="L174" s="4" t="s">
        <v>167</v>
      </c>
      <c r="M174" s="24"/>
    </row>
    <row r="175" spans="1:13">
      <c r="A175" s="11"/>
      <c r="B175" s="8">
        <v>23</v>
      </c>
      <c r="C175" s="80" t="str">
        <f t="shared" si="2"/>
        <v>${nama_lokasi_23}</v>
      </c>
      <c r="D175" s="81"/>
      <c r="E175" s="81"/>
      <c r="F175" s="81"/>
      <c r="G175" s="81"/>
      <c r="H175" s="81"/>
      <c r="I175" s="81"/>
      <c r="J175" s="82"/>
      <c r="K175" s="4" t="s">
        <v>53</v>
      </c>
      <c r="L175" s="4" t="s">
        <v>167</v>
      </c>
      <c r="M175" s="24"/>
    </row>
    <row r="176" spans="1:13">
      <c r="A176" s="11"/>
      <c r="B176" s="8">
        <v>24</v>
      </c>
      <c r="C176" s="80" t="str">
        <f t="shared" si="2"/>
        <v>${nama_lokasi_24}</v>
      </c>
      <c r="D176" s="81"/>
      <c r="E176" s="81"/>
      <c r="F176" s="81"/>
      <c r="G176" s="81"/>
      <c r="H176" s="81"/>
      <c r="I176" s="81"/>
      <c r="J176" s="82"/>
      <c r="K176" s="4" t="s">
        <v>53</v>
      </c>
      <c r="L176" s="4" t="s">
        <v>167</v>
      </c>
      <c r="M176" s="24"/>
    </row>
    <row r="177" spans="1:13">
      <c r="A177" s="11"/>
      <c r="B177" s="8">
        <v>25</v>
      </c>
      <c r="C177" s="80" t="str">
        <f t="shared" si="2"/>
        <v>${nama_lokasi_25}</v>
      </c>
      <c r="D177" s="81"/>
      <c r="E177" s="81"/>
      <c r="F177" s="81"/>
      <c r="G177" s="81"/>
      <c r="H177" s="81"/>
      <c r="I177" s="81"/>
      <c r="J177" s="82"/>
      <c r="K177" s="4" t="s">
        <v>53</v>
      </c>
      <c r="L177" s="4" t="s">
        <v>167</v>
      </c>
      <c r="M177" s="24"/>
    </row>
    <row r="178" spans="1:13">
      <c r="A178" s="11"/>
      <c r="B178" s="8">
        <v>26</v>
      </c>
      <c r="C178" s="80" t="str">
        <f t="shared" si="2"/>
        <v>${nama_lokasi_26}</v>
      </c>
      <c r="D178" s="81"/>
      <c r="E178" s="81"/>
      <c r="F178" s="81"/>
      <c r="G178" s="81"/>
      <c r="H178" s="81"/>
      <c r="I178" s="81"/>
      <c r="J178" s="82"/>
      <c r="K178" s="4" t="s">
        <v>53</v>
      </c>
      <c r="L178" s="4" t="s">
        <v>167</v>
      </c>
      <c r="M178" s="24"/>
    </row>
    <row r="179" spans="1:13">
      <c r="A179" s="11"/>
      <c r="B179" s="8">
        <v>27</v>
      </c>
      <c r="C179" s="80" t="str">
        <f t="shared" si="2"/>
        <v>${nama_lokasi_27}</v>
      </c>
      <c r="D179" s="81"/>
      <c r="E179" s="81"/>
      <c r="F179" s="81"/>
      <c r="G179" s="81"/>
      <c r="H179" s="81"/>
      <c r="I179" s="81"/>
      <c r="J179" s="82"/>
      <c r="K179" s="4" t="s">
        <v>53</v>
      </c>
      <c r="L179" s="4" t="s">
        <v>167</v>
      </c>
      <c r="M179" s="24"/>
    </row>
    <row r="180" spans="1:13">
      <c r="A180" s="11"/>
      <c r="B180" s="8">
        <v>28</v>
      </c>
      <c r="C180" s="80" t="str">
        <f t="shared" si="2"/>
        <v>${nama_lokasi_28}</v>
      </c>
      <c r="D180" s="81"/>
      <c r="E180" s="81"/>
      <c r="F180" s="81"/>
      <c r="G180" s="81"/>
      <c r="H180" s="81"/>
      <c r="I180" s="81"/>
      <c r="J180" s="82"/>
      <c r="K180" s="4" t="s">
        <v>53</v>
      </c>
      <c r="L180" s="4" t="s">
        <v>167</v>
      </c>
      <c r="M180" s="24"/>
    </row>
    <row r="181" spans="1:13">
      <c r="A181" s="11"/>
      <c r="B181" s="8">
        <v>29</v>
      </c>
      <c r="C181" s="80" t="str">
        <f t="shared" si="2"/>
        <v>${nama_lokasi_29}</v>
      </c>
      <c r="D181" s="81"/>
      <c r="E181" s="81"/>
      <c r="F181" s="81"/>
      <c r="G181" s="81"/>
      <c r="H181" s="81"/>
      <c r="I181" s="81"/>
      <c r="J181" s="82"/>
      <c r="K181" s="4" t="s">
        <v>53</v>
      </c>
      <c r="L181" s="4" t="s">
        <v>167</v>
      </c>
      <c r="M181" s="24"/>
    </row>
    <row r="182" spans="1:13">
      <c r="A182" s="11"/>
      <c r="B182" s="8">
        <v>30</v>
      </c>
      <c r="C182" s="80" t="str">
        <f t="shared" si="2"/>
        <v>${nama_lokasi_30}</v>
      </c>
      <c r="D182" s="81"/>
      <c r="E182" s="81"/>
      <c r="F182" s="81"/>
      <c r="G182" s="81"/>
      <c r="H182" s="81"/>
      <c r="I182" s="81"/>
      <c r="J182" s="82"/>
      <c r="K182" s="4" t="s">
        <v>53</v>
      </c>
      <c r="L182" s="4" t="s">
        <v>167</v>
      </c>
      <c r="M182" s="24"/>
    </row>
    <row r="183" spans="1:13">
      <c r="A183" s="11"/>
      <c r="B183" s="8">
        <v>31</v>
      </c>
      <c r="C183" s="80" t="str">
        <f t="shared" ref="C183:C192" si="3">C133</f>
        <v>${nama_lokasi_31}</v>
      </c>
      <c r="D183" s="81"/>
      <c r="E183" s="81"/>
      <c r="F183" s="81"/>
      <c r="G183" s="81"/>
      <c r="H183" s="81"/>
      <c r="I183" s="81"/>
      <c r="J183" s="82"/>
      <c r="K183" s="4" t="s">
        <v>53</v>
      </c>
      <c r="L183" s="4" t="s">
        <v>167</v>
      </c>
      <c r="M183" s="24"/>
    </row>
    <row r="184" spans="1:13">
      <c r="A184" s="11"/>
      <c r="B184" s="8">
        <v>32</v>
      </c>
      <c r="C184" s="80" t="str">
        <f t="shared" si="3"/>
        <v>${nama_lokasi_32}</v>
      </c>
      <c r="D184" s="81"/>
      <c r="E184" s="81"/>
      <c r="F184" s="81"/>
      <c r="G184" s="81"/>
      <c r="H184" s="81"/>
      <c r="I184" s="81"/>
      <c r="J184" s="82"/>
      <c r="K184" s="4" t="s">
        <v>53</v>
      </c>
      <c r="L184" s="4" t="s">
        <v>167</v>
      </c>
      <c r="M184" s="24"/>
    </row>
    <row r="185" spans="1:13">
      <c r="A185" s="11"/>
      <c r="B185" s="8">
        <v>33</v>
      </c>
      <c r="C185" s="80" t="str">
        <f t="shared" si="3"/>
        <v>${nama_lokasi_33}</v>
      </c>
      <c r="D185" s="81"/>
      <c r="E185" s="81"/>
      <c r="F185" s="81"/>
      <c r="G185" s="81"/>
      <c r="H185" s="81"/>
      <c r="I185" s="81"/>
      <c r="J185" s="82"/>
      <c r="K185" s="4" t="s">
        <v>53</v>
      </c>
      <c r="L185" s="4" t="s">
        <v>167</v>
      </c>
      <c r="M185" s="24"/>
    </row>
    <row r="186" spans="1:13">
      <c r="A186" s="11"/>
      <c r="B186" s="8">
        <v>34</v>
      </c>
      <c r="C186" s="80" t="str">
        <f t="shared" si="3"/>
        <v>${nama_lokasi_34}</v>
      </c>
      <c r="D186" s="81"/>
      <c r="E186" s="81"/>
      <c r="F186" s="81"/>
      <c r="G186" s="81"/>
      <c r="H186" s="81"/>
      <c r="I186" s="81"/>
      <c r="J186" s="82"/>
      <c r="K186" s="4" t="s">
        <v>53</v>
      </c>
      <c r="L186" s="4" t="s">
        <v>167</v>
      </c>
      <c r="M186" s="24"/>
    </row>
    <row r="187" spans="1:13">
      <c r="A187" s="11"/>
      <c r="B187" s="8">
        <v>35</v>
      </c>
      <c r="C187" s="80" t="str">
        <f t="shared" si="3"/>
        <v>${nama_lokasi_35}</v>
      </c>
      <c r="D187" s="81"/>
      <c r="E187" s="81"/>
      <c r="F187" s="81"/>
      <c r="G187" s="81"/>
      <c r="H187" s="81"/>
      <c r="I187" s="81"/>
      <c r="J187" s="82"/>
      <c r="K187" s="4" t="s">
        <v>53</v>
      </c>
      <c r="L187" s="4" t="s">
        <v>167</v>
      </c>
      <c r="M187" s="24"/>
    </row>
    <row r="188" spans="1:13">
      <c r="A188" s="11"/>
      <c r="B188" s="8">
        <v>36</v>
      </c>
      <c r="C188" s="80" t="str">
        <f t="shared" si="3"/>
        <v>${nama_lokasi_36}</v>
      </c>
      <c r="D188" s="81"/>
      <c r="E188" s="81"/>
      <c r="F188" s="81"/>
      <c r="G188" s="81"/>
      <c r="H188" s="81"/>
      <c r="I188" s="81"/>
      <c r="J188" s="82"/>
      <c r="K188" s="4" t="s">
        <v>53</v>
      </c>
      <c r="L188" s="4" t="s">
        <v>167</v>
      </c>
      <c r="M188" s="24"/>
    </row>
    <row r="189" spans="1:13">
      <c r="A189" s="11"/>
      <c r="B189" s="8">
        <v>37</v>
      </c>
      <c r="C189" s="80" t="str">
        <f t="shared" si="3"/>
        <v>${nama_lokasi_37}</v>
      </c>
      <c r="D189" s="81"/>
      <c r="E189" s="81"/>
      <c r="F189" s="81"/>
      <c r="G189" s="81"/>
      <c r="H189" s="81"/>
      <c r="I189" s="81"/>
      <c r="J189" s="82"/>
      <c r="K189" s="4" t="s">
        <v>53</v>
      </c>
      <c r="L189" s="4" t="s">
        <v>167</v>
      </c>
      <c r="M189" s="24"/>
    </row>
    <row r="190" spans="1:13">
      <c r="A190" s="11"/>
      <c r="B190" s="8">
        <v>38</v>
      </c>
      <c r="C190" s="80" t="str">
        <f t="shared" si="3"/>
        <v>${nama_lokasi_38}</v>
      </c>
      <c r="D190" s="81"/>
      <c r="E190" s="81"/>
      <c r="F190" s="81"/>
      <c r="G190" s="81"/>
      <c r="H190" s="81"/>
      <c r="I190" s="81"/>
      <c r="J190" s="82"/>
      <c r="K190" s="4" t="s">
        <v>53</v>
      </c>
      <c r="L190" s="4" t="s">
        <v>167</v>
      </c>
      <c r="M190" s="24"/>
    </row>
    <row r="191" spans="1:13">
      <c r="A191" s="11"/>
      <c r="B191" s="8">
        <v>39</v>
      </c>
      <c r="C191" s="80" t="str">
        <f t="shared" si="3"/>
        <v>${nama_lokasi_39}</v>
      </c>
      <c r="D191" s="81"/>
      <c r="E191" s="81"/>
      <c r="F191" s="81"/>
      <c r="G191" s="81"/>
      <c r="H191" s="81"/>
      <c r="I191" s="81"/>
      <c r="J191" s="82"/>
      <c r="K191" s="4" t="s">
        <v>53</v>
      </c>
      <c r="L191" s="4" t="s">
        <v>167</v>
      </c>
      <c r="M191" s="24"/>
    </row>
    <row r="192" spans="1:13">
      <c r="A192" s="11"/>
      <c r="B192" s="8">
        <v>40</v>
      </c>
      <c r="C192" s="80" t="str">
        <f t="shared" si="3"/>
        <v>${nama_lokasi_40}</v>
      </c>
      <c r="D192" s="81"/>
      <c r="E192" s="81"/>
      <c r="F192" s="81"/>
      <c r="G192" s="81"/>
      <c r="H192" s="81"/>
      <c r="I192" s="81"/>
      <c r="J192" s="82"/>
      <c r="K192" s="4" t="s">
        <v>53</v>
      </c>
      <c r="L192" s="4" t="s">
        <v>167</v>
      </c>
      <c r="M192" s="24"/>
    </row>
    <row r="193" spans="1:13">
      <c r="A193" s="11"/>
    </row>
    <row r="194" spans="1:13">
      <c r="A194" s="14" t="s">
        <v>37</v>
      </c>
      <c r="B194" s="72" t="s">
        <v>38</v>
      </c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</row>
    <row r="195" spans="1:13">
      <c r="A195" s="11"/>
      <c r="B195" s="87" t="s">
        <v>39</v>
      </c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</row>
    <row r="196" spans="1:13">
      <c r="A196" s="1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>
      <c r="A197" s="87" t="s">
        <v>40</v>
      </c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</row>
    <row r="198" spans="1:13">
      <c r="A198" s="11"/>
    </row>
    <row r="199" spans="1:13">
      <c r="A199" s="67" t="s">
        <v>54</v>
      </c>
      <c r="B199" s="67"/>
      <c r="C199" s="67"/>
      <c r="D199" s="67"/>
      <c r="E199" s="67"/>
      <c r="F199" s="67"/>
      <c r="G199" s="67"/>
      <c r="H199" s="67"/>
      <c r="I199" s="67" t="s">
        <v>7</v>
      </c>
      <c r="J199" s="67"/>
      <c r="K199" s="67"/>
      <c r="L199" s="67"/>
      <c r="M199" s="67"/>
    </row>
    <row r="200" spans="1:13">
      <c r="A200" s="11"/>
    </row>
    <row r="201" spans="1:13">
      <c r="A201" s="11"/>
    </row>
    <row r="202" spans="1:13">
      <c r="A202" s="11"/>
    </row>
    <row r="203" spans="1:13">
      <c r="A203" s="11"/>
    </row>
    <row r="204" spans="1:13">
      <c r="A204" s="11"/>
    </row>
    <row r="205" spans="1:13">
      <c r="A205" s="67" t="s">
        <v>43</v>
      </c>
      <c r="B205" s="67"/>
      <c r="C205" s="67"/>
      <c r="D205" s="67"/>
      <c r="E205" s="67"/>
      <c r="F205" s="67"/>
      <c r="G205" s="67"/>
      <c r="H205" s="67"/>
      <c r="I205" s="67" t="s">
        <v>45</v>
      </c>
      <c r="J205" s="67"/>
      <c r="K205" s="67"/>
      <c r="L205" s="67"/>
      <c r="M205" s="67"/>
    </row>
    <row r="206" spans="1:13">
      <c r="A206" s="67" t="s">
        <v>44</v>
      </c>
      <c r="B206" s="67"/>
      <c r="C206" s="67"/>
      <c r="D206" s="67"/>
      <c r="E206" s="67"/>
      <c r="F206" s="67"/>
      <c r="G206" s="67"/>
      <c r="H206" s="67"/>
      <c r="I206" s="67" t="s">
        <v>46</v>
      </c>
      <c r="J206" s="67"/>
      <c r="K206" s="67"/>
      <c r="L206" s="67"/>
      <c r="M206" s="67"/>
    </row>
    <row r="207" spans="1:13">
      <c r="A207" s="67" t="s">
        <v>47</v>
      </c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</row>
    <row r="214" spans="1:13">
      <c r="A214" s="67" t="s">
        <v>203</v>
      </c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</row>
    <row r="215" spans="1:13">
      <c r="A215" s="67" t="s">
        <v>48</v>
      </c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</row>
    <row r="216" spans="1:13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</row>
    <row r="217" spans="1:13">
      <c r="A217" s="38" t="s">
        <v>55</v>
      </c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</row>
  </sheetData>
  <mergeCells count="295">
    <mergeCell ref="C169:J169"/>
    <mergeCell ref="C170:J170"/>
    <mergeCell ref="C171:J171"/>
    <mergeCell ref="C172:J172"/>
    <mergeCell ref="C160:J160"/>
    <mergeCell ref="C161:J161"/>
    <mergeCell ref="C162:J162"/>
    <mergeCell ref="C163:J163"/>
    <mergeCell ref="C164:J164"/>
    <mergeCell ref="C165:J165"/>
    <mergeCell ref="C166:J166"/>
    <mergeCell ref="C167:J167"/>
    <mergeCell ref="C168:J168"/>
    <mergeCell ref="C155:J155"/>
    <mergeCell ref="C156:J156"/>
    <mergeCell ref="C157:J157"/>
    <mergeCell ref="C158:J158"/>
    <mergeCell ref="C159:J159"/>
    <mergeCell ref="C152:J152"/>
    <mergeCell ref="B148:M148"/>
    <mergeCell ref="B144:I144"/>
    <mergeCell ref="B145:I145"/>
    <mergeCell ref="C136:I136"/>
    <mergeCell ref="C137:I137"/>
    <mergeCell ref="C138:I138"/>
    <mergeCell ref="C139:I139"/>
    <mergeCell ref="C140:I140"/>
    <mergeCell ref="C141:I141"/>
    <mergeCell ref="C142:I142"/>
    <mergeCell ref="C153:J153"/>
    <mergeCell ref="C154:J154"/>
    <mergeCell ref="C127:I127"/>
    <mergeCell ref="C128:I128"/>
    <mergeCell ref="C129:I129"/>
    <mergeCell ref="C130:I130"/>
    <mergeCell ref="C131:I131"/>
    <mergeCell ref="C132:I132"/>
    <mergeCell ref="C133:I133"/>
    <mergeCell ref="C134:I134"/>
    <mergeCell ref="C135:I135"/>
    <mergeCell ref="C57:I57"/>
    <mergeCell ref="J57:K57"/>
    <mergeCell ref="L57:M57"/>
    <mergeCell ref="C58:I58"/>
    <mergeCell ref="J58:K58"/>
    <mergeCell ref="L58:M58"/>
    <mergeCell ref="C59:I59"/>
    <mergeCell ref="J59:K59"/>
    <mergeCell ref="L59:M59"/>
    <mergeCell ref="C54:I54"/>
    <mergeCell ref="J54:K54"/>
    <mergeCell ref="L54:M54"/>
    <mergeCell ref="C55:I55"/>
    <mergeCell ref="J55:K55"/>
    <mergeCell ref="L55:M55"/>
    <mergeCell ref="C56:I56"/>
    <mergeCell ref="J56:K56"/>
    <mergeCell ref="L56:M56"/>
    <mergeCell ref="C51:I51"/>
    <mergeCell ref="J51:K51"/>
    <mergeCell ref="L51:M51"/>
    <mergeCell ref="C52:I52"/>
    <mergeCell ref="J52:K52"/>
    <mergeCell ref="L52:M52"/>
    <mergeCell ref="C53:I53"/>
    <mergeCell ref="J53:K53"/>
    <mergeCell ref="L53:M53"/>
    <mergeCell ref="C48:I48"/>
    <mergeCell ref="J48:K48"/>
    <mergeCell ref="L48:M48"/>
    <mergeCell ref="C49:I49"/>
    <mergeCell ref="J49:K49"/>
    <mergeCell ref="L49:M49"/>
    <mergeCell ref="C50:I50"/>
    <mergeCell ref="J50:K50"/>
    <mergeCell ref="L50:M50"/>
    <mergeCell ref="C45:I45"/>
    <mergeCell ref="J45:K45"/>
    <mergeCell ref="L45:M45"/>
    <mergeCell ref="C46:I46"/>
    <mergeCell ref="J46:K46"/>
    <mergeCell ref="L46:M46"/>
    <mergeCell ref="C47:I47"/>
    <mergeCell ref="J47:K47"/>
    <mergeCell ref="L47:M47"/>
    <mergeCell ref="A216:M216"/>
    <mergeCell ref="C187:J187"/>
    <mergeCell ref="C188:J188"/>
    <mergeCell ref="C189:J189"/>
    <mergeCell ref="C190:J190"/>
    <mergeCell ref="C191:J191"/>
    <mergeCell ref="C192:J192"/>
    <mergeCell ref="C178:J178"/>
    <mergeCell ref="C179:J179"/>
    <mergeCell ref="C180:J180"/>
    <mergeCell ref="C181:J181"/>
    <mergeCell ref="C182:J182"/>
    <mergeCell ref="C183:J183"/>
    <mergeCell ref="C184:J184"/>
    <mergeCell ref="C185:J185"/>
    <mergeCell ref="C186:J186"/>
    <mergeCell ref="A197:M197"/>
    <mergeCell ref="B195:M195"/>
    <mergeCell ref="B194:M194"/>
    <mergeCell ref="A214:M214"/>
    <mergeCell ref="A215:M215"/>
    <mergeCell ref="A207:M207"/>
    <mergeCell ref="A206:H206"/>
    <mergeCell ref="A205:H205"/>
    <mergeCell ref="C173:J173"/>
    <mergeCell ref="C174:J174"/>
    <mergeCell ref="C175:J175"/>
    <mergeCell ref="C176:J176"/>
    <mergeCell ref="C177:J177"/>
    <mergeCell ref="L34:M34"/>
    <mergeCell ref="L35:M35"/>
    <mergeCell ref="L36:M36"/>
    <mergeCell ref="L37:M37"/>
    <mergeCell ref="L38:M38"/>
    <mergeCell ref="L39:M39"/>
    <mergeCell ref="D74:L74"/>
    <mergeCell ref="D75:L75"/>
    <mergeCell ref="D80:L80"/>
    <mergeCell ref="C39:I39"/>
    <mergeCell ref="C64:M64"/>
    <mergeCell ref="C65:M65"/>
    <mergeCell ref="C67:M67"/>
    <mergeCell ref="C69:C75"/>
    <mergeCell ref="D79:L79"/>
    <mergeCell ref="J37:K37"/>
    <mergeCell ref="B151:M151"/>
    <mergeCell ref="B150:M150"/>
    <mergeCell ref="B147:M147"/>
    <mergeCell ref="B100:M100"/>
    <mergeCell ref="C102:I102"/>
    <mergeCell ref="B143:I143"/>
    <mergeCell ref="C103:I103"/>
    <mergeCell ref="C104:I104"/>
    <mergeCell ref="C105:I105"/>
    <mergeCell ref="C106:I106"/>
    <mergeCell ref="C107:I107"/>
    <mergeCell ref="C108:I108"/>
    <mergeCell ref="C109:I109"/>
    <mergeCell ref="C110:I110"/>
    <mergeCell ref="C111:I111"/>
    <mergeCell ref="C112:I112"/>
    <mergeCell ref="C113:I113"/>
    <mergeCell ref="C114:I114"/>
    <mergeCell ref="C115:I115"/>
    <mergeCell ref="C116:I116"/>
    <mergeCell ref="C118:I118"/>
    <mergeCell ref="C119:I119"/>
    <mergeCell ref="C120:I120"/>
    <mergeCell ref="C123:I123"/>
    <mergeCell ref="C124:I124"/>
    <mergeCell ref="C125:I125"/>
    <mergeCell ref="C126:I126"/>
    <mergeCell ref="A199:H199"/>
    <mergeCell ref="I206:M206"/>
    <mergeCell ref="I205:M205"/>
    <mergeCell ref="I199:M199"/>
    <mergeCell ref="C76:C81"/>
    <mergeCell ref="B60:G60"/>
    <mergeCell ref="D73:L73"/>
    <mergeCell ref="D76:L76"/>
    <mergeCell ref="D77:L77"/>
    <mergeCell ref="D78:L78"/>
    <mergeCell ref="D81:L81"/>
    <mergeCell ref="C82:C87"/>
    <mergeCell ref="C88:C93"/>
    <mergeCell ref="D82:L82"/>
    <mergeCell ref="B99:M99"/>
    <mergeCell ref="B96:M96"/>
    <mergeCell ref="B97:M97"/>
    <mergeCell ref="C121:I121"/>
    <mergeCell ref="C122:I122"/>
    <mergeCell ref="D85:L85"/>
    <mergeCell ref="D87:L87"/>
    <mergeCell ref="C94:M94"/>
    <mergeCell ref="D92:L92"/>
    <mergeCell ref="D93:L93"/>
    <mergeCell ref="A15:D15"/>
    <mergeCell ref="A16:M16"/>
    <mergeCell ref="F15:M15"/>
    <mergeCell ref="D19:H19"/>
    <mergeCell ref="L19:M19"/>
    <mergeCell ref="B17:M17"/>
    <mergeCell ref="C20:I20"/>
    <mergeCell ref="C21:I21"/>
    <mergeCell ref="C22:I22"/>
    <mergeCell ref="C23:I23"/>
    <mergeCell ref="B18:M18"/>
    <mergeCell ref="L20:M20"/>
    <mergeCell ref="L21:M21"/>
    <mergeCell ref="L22:M22"/>
    <mergeCell ref="L23:M23"/>
    <mergeCell ref="L25:M25"/>
    <mergeCell ref="D83:L83"/>
    <mergeCell ref="D84:L84"/>
    <mergeCell ref="C35:I35"/>
    <mergeCell ref="C24:I24"/>
    <mergeCell ref="C25:I25"/>
    <mergeCell ref="C26:I26"/>
    <mergeCell ref="C27:I27"/>
    <mergeCell ref="C28:I28"/>
    <mergeCell ref="C29:I29"/>
    <mergeCell ref="L24:M24"/>
    <mergeCell ref="C36:I36"/>
    <mergeCell ref="C37:I37"/>
    <mergeCell ref="C38:I38"/>
    <mergeCell ref="B62:M62"/>
    <mergeCell ref="D68:L68"/>
    <mergeCell ref="D69:L69"/>
    <mergeCell ref="D70:L70"/>
    <mergeCell ref="L26:M26"/>
    <mergeCell ref="L33:M33"/>
    <mergeCell ref="C30:I30"/>
    <mergeCell ref="C31:I31"/>
    <mergeCell ref="C32:I32"/>
    <mergeCell ref="C33:I33"/>
    <mergeCell ref="L27:M27"/>
    <mergeCell ref="L28:M28"/>
    <mergeCell ref="L29:M29"/>
    <mergeCell ref="J36:K36"/>
    <mergeCell ref="C34:I34"/>
    <mergeCell ref="L30:M30"/>
    <mergeCell ref="L31:M31"/>
    <mergeCell ref="L32:M32"/>
    <mergeCell ref="D71:L71"/>
    <mergeCell ref="D72:L72"/>
    <mergeCell ref="J38:K38"/>
    <mergeCell ref="J39:K39"/>
    <mergeCell ref="C40:I40"/>
    <mergeCell ref="J40:K40"/>
    <mergeCell ref="L40:M40"/>
    <mergeCell ref="C41:I41"/>
    <mergeCell ref="J41:K41"/>
    <mergeCell ref="L41:M41"/>
    <mergeCell ref="C42:I42"/>
    <mergeCell ref="J42:K42"/>
    <mergeCell ref="L42:M42"/>
    <mergeCell ref="C43:I43"/>
    <mergeCell ref="J43:K43"/>
    <mergeCell ref="L43:M43"/>
    <mergeCell ref="C44:I44"/>
    <mergeCell ref="J44:K44"/>
    <mergeCell ref="L44:M44"/>
    <mergeCell ref="D89:L89"/>
    <mergeCell ref="D90:L90"/>
    <mergeCell ref="D91:L91"/>
    <mergeCell ref="D86:L86"/>
    <mergeCell ref="J34:K34"/>
    <mergeCell ref="J35:K35"/>
    <mergeCell ref="A1:M1"/>
    <mergeCell ref="A2:M2"/>
    <mergeCell ref="A4:D4"/>
    <mergeCell ref="A5:D5"/>
    <mergeCell ref="F4:M4"/>
    <mergeCell ref="F5:M5"/>
    <mergeCell ref="F6:M6"/>
    <mergeCell ref="F7:M7"/>
    <mergeCell ref="F11:M11"/>
    <mergeCell ref="A6:D6"/>
    <mergeCell ref="A7:D7"/>
    <mergeCell ref="A11:D11"/>
    <mergeCell ref="A8:D8"/>
    <mergeCell ref="F8:M8"/>
    <mergeCell ref="F9:M9"/>
    <mergeCell ref="F10:M10"/>
    <mergeCell ref="A9:D9"/>
    <mergeCell ref="A10:D10"/>
    <mergeCell ref="A12:D12"/>
    <mergeCell ref="A13:D13"/>
    <mergeCell ref="A14:D14"/>
    <mergeCell ref="F12:M12"/>
    <mergeCell ref="F13:M13"/>
    <mergeCell ref="F14:M14"/>
    <mergeCell ref="A217:M217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C117:I117"/>
    <mergeCell ref="D88:L88"/>
  </mergeCells>
  <pageMargins left="0.70866141732283472" right="0.70866141732283472" top="0.66718750000000004" bottom="0.74803149606299213" header="0.31496062992125984" footer="0.31496062992125984"/>
  <pageSetup paperSize="9" scale="61" fitToHeight="0" orientation="portrait" r:id="rId1"/>
  <headerFooter>
    <oddHeader>&amp;L&amp;"Arial,Regular"Lampiran-VII : Format Berita Acara Rekonsiliasi</oddHeader>
  </headerFooter>
  <rowBreaks count="1" manualBreakCount="1">
    <brk id="93" max="16383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BAREKON</vt:lpstr>
      <vt:lpstr>BAREKON!Print_Area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hikmah</dc:creator>
  <cp:lastModifiedBy>acer nitro 5</cp:lastModifiedBy>
  <cp:lastPrinted>2025-07-04T02:00:39Z</cp:lastPrinted>
  <dcterms:created xsi:type="dcterms:W3CDTF">2025-06-20T02:52:14Z</dcterms:created>
  <dcterms:modified xsi:type="dcterms:W3CDTF">2025-08-01T07:39:13Z</dcterms:modified>
</cp:coreProperties>
</file>